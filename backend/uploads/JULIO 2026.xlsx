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honni\Desktop\ORDENES POR MESES\"/>
    </mc:Choice>
  </mc:AlternateContent>
  <xr:revisionPtr revIDLastSave="0" documentId="13_ncr:1_{3F01CA65-D098-49E5-8F0B-D3A02B9B4EDD}" xr6:coauthVersionLast="47" xr6:coauthVersionMax="47" xr10:uidLastSave="{00000000-0000-0000-0000-000000000000}"/>
  <bookViews>
    <workbookView xWindow="28680" yWindow="-120" windowWidth="19440" windowHeight="10320" tabRatio="480" xr2:uid="{00000000-000D-0000-FFFF-FFFF00000000}"/>
  </bookViews>
  <sheets>
    <sheet name="DATOS GENERALES" sheetId="1" r:id="rId1"/>
    <sheet name="MONTAJE " sheetId="9" r:id="rId2"/>
    <sheet name="CALIBRACIONES" sheetId="7" r:id="rId3"/>
  </sheets>
  <definedNames>
    <definedName name="_xlnm._FilterDatabase" localSheetId="0" hidden="1">'DATOS GENERALES'!$A$2:$BB$58</definedName>
    <definedName name="_xlnm._FilterDatabase" localSheetId="1" hidden="1">'MONTAJE 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8" i="9" l="1"/>
  <c r="C58" i="9"/>
  <c r="D58" i="9"/>
  <c r="E58" i="9"/>
  <c r="B58" i="9"/>
  <c r="AE58" i="1" l="1"/>
  <c r="Y3" i="1" l="1"/>
  <c r="Z3" i="1" s="1"/>
  <c r="AF43" i="1"/>
  <c r="AE43" i="1"/>
  <c r="AF44" i="1"/>
  <c r="Z43" i="1" l="1"/>
  <c r="AE25" i="1" l="1"/>
  <c r="X3" i="1"/>
  <c r="R3" i="1"/>
  <c r="AE54" i="1"/>
  <c r="AE53" i="1"/>
  <c r="Z53" i="1" s="1"/>
  <c r="X54" i="1"/>
  <c r="X55" i="1"/>
  <c r="X56" i="1"/>
  <c r="X57" i="1"/>
  <c r="X58" i="1"/>
  <c r="T43" i="1"/>
  <c r="T44" i="1"/>
  <c r="T45" i="1"/>
  <c r="T46" i="1"/>
  <c r="T47" i="1"/>
  <c r="T48" i="1"/>
  <c r="T49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34" i="1"/>
  <c r="R24" i="1"/>
  <c r="R33" i="1"/>
  <c r="R25" i="1"/>
  <c r="R32" i="1"/>
  <c r="R26" i="1"/>
  <c r="R27" i="1"/>
  <c r="R30" i="1"/>
  <c r="R31" i="1"/>
  <c r="R28" i="1"/>
  <c r="R35" i="1"/>
  <c r="R29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C11" i="7" l="1"/>
  <c r="AE45" i="1" l="1"/>
  <c r="L42" i="1" l="1"/>
  <c r="T42" i="1"/>
  <c r="V42" i="1"/>
  <c r="X42" i="1"/>
  <c r="Y42" i="1"/>
  <c r="Z42" i="1" s="1"/>
  <c r="AE42" i="1"/>
  <c r="AF42" i="1"/>
  <c r="AF54" i="1" l="1"/>
  <c r="D11" i="7" l="1"/>
  <c r="V5" i="1" l="1"/>
  <c r="T5" i="1"/>
  <c r="AF57" i="1"/>
  <c r="AF41" i="1" l="1"/>
  <c r="AE41" i="1"/>
  <c r="V41" i="1"/>
  <c r="L41" i="1"/>
  <c r="AF23" i="1" l="1"/>
  <c r="AF40" i="1" l="1"/>
  <c r="AF39" i="1" l="1"/>
  <c r="Z45" i="1" l="1"/>
  <c r="AF46" i="1"/>
  <c r="Y55" i="1" l="1"/>
  <c r="V55" i="1"/>
  <c r="T55" i="1"/>
  <c r="R55" i="1"/>
  <c r="AE55" i="1"/>
  <c r="Y54" i="1"/>
  <c r="T54" i="1"/>
  <c r="V54" i="1"/>
  <c r="R54" i="1"/>
  <c r="L54" i="1"/>
  <c r="L55" i="1"/>
  <c r="Z55" i="1" l="1"/>
  <c r="Z54" i="1"/>
  <c r="Z58" i="1"/>
  <c r="AE36" i="1" l="1"/>
  <c r="AE40" i="1"/>
  <c r="F19" i="1" l="1"/>
  <c r="AE19" i="1" s="1"/>
  <c r="L21" i="1" l="1"/>
  <c r="L40" i="1" l="1"/>
  <c r="T40" i="1"/>
  <c r="V40" i="1"/>
  <c r="X40" i="1"/>
  <c r="Y40" i="1"/>
  <c r="Z40" i="1" s="1"/>
  <c r="L23" i="1"/>
  <c r="L18" i="1"/>
  <c r="L36" i="1"/>
  <c r="L19" i="1"/>
  <c r="L37" i="1" l="1"/>
  <c r="AE52" i="1" l="1"/>
  <c r="AE56" i="1" l="1"/>
  <c r="Z56" i="1" s="1"/>
  <c r="AE57" i="1" l="1"/>
  <c r="AE21" i="1" l="1"/>
  <c r="L8" i="1" l="1"/>
  <c r="AE18" i="1" l="1"/>
  <c r="AE49" i="1" l="1"/>
  <c r="AE44" i="1"/>
  <c r="Z44" i="1" s="1"/>
  <c r="AE48" i="1"/>
  <c r="AE47" i="1"/>
  <c r="Z47" i="1" s="1"/>
  <c r="AE46" i="1"/>
  <c r="Z46" i="1" s="1"/>
  <c r="AE37" i="1"/>
  <c r="AE38" i="1"/>
  <c r="AE29" i="1"/>
  <c r="AE35" i="1"/>
  <c r="AE28" i="1"/>
  <c r="AE31" i="1"/>
  <c r="AE30" i="1"/>
  <c r="AE27" i="1"/>
  <c r="AE26" i="1"/>
  <c r="AE32" i="1"/>
  <c r="AE33" i="1"/>
  <c r="AE20" i="1"/>
  <c r="AE24" i="1"/>
  <c r="AE34" i="1"/>
  <c r="AE16" i="1"/>
  <c r="AE15" i="1"/>
  <c r="AE13" i="1"/>
  <c r="AE11" i="1"/>
  <c r="AE10" i="1"/>
  <c r="AE9" i="1"/>
  <c r="AE8" i="1"/>
  <c r="AE7" i="1"/>
  <c r="AE6" i="1"/>
  <c r="AE5" i="1"/>
  <c r="AE4" i="1"/>
  <c r="AE3" i="1"/>
  <c r="F17" i="1" l="1"/>
  <c r="AE17" i="1" s="1"/>
  <c r="F23" i="1" l="1"/>
  <c r="AE23" i="1" s="1"/>
  <c r="Y36" i="1" l="1"/>
  <c r="Z36" i="1" s="1"/>
  <c r="X36" i="1"/>
  <c r="V36" i="1"/>
  <c r="T36" i="1"/>
  <c r="Y58" i="1"/>
  <c r="V58" i="1"/>
  <c r="T58" i="1"/>
  <c r="R58" i="1"/>
  <c r="L58" i="1"/>
  <c r="Y17" i="1"/>
  <c r="Z17" i="1" s="1"/>
  <c r="X17" i="1"/>
  <c r="V17" i="1"/>
  <c r="T17" i="1"/>
  <c r="L17" i="1"/>
  <c r="Y18" i="1"/>
  <c r="Z18" i="1" s="1"/>
  <c r="X18" i="1"/>
  <c r="V18" i="1"/>
  <c r="T18" i="1"/>
  <c r="Y23" i="1"/>
  <c r="Z23" i="1" s="1"/>
  <c r="X23" i="1"/>
  <c r="V23" i="1"/>
  <c r="T23" i="1"/>
  <c r="F39" i="1" l="1"/>
  <c r="AE39" i="1" s="1"/>
  <c r="L14" i="1"/>
  <c r="L15" i="1" l="1"/>
  <c r="C8" i="7" l="1"/>
  <c r="C5" i="7"/>
  <c r="C6" i="7"/>
  <c r="C7" i="7"/>
  <c r="C4" i="7"/>
  <c r="Y53" i="1" l="1"/>
  <c r="X53" i="1"/>
  <c r="V53" i="1"/>
  <c r="T53" i="1"/>
  <c r="R53" i="1"/>
  <c r="L53" i="1"/>
  <c r="Y38" i="1" l="1"/>
  <c r="Z38" i="1" s="1"/>
  <c r="X38" i="1"/>
  <c r="V38" i="1"/>
  <c r="T38" i="1"/>
  <c r="L38" i="1"/>
  <c r="Y8" i="1"/>
  <c r="Z8" i="1" s="1"/>
  <c r="X8" i="1"/>
  <c r="V8" i="1"/>
  <c r="T8" i="1"/>
  <c r="F14" i="1" l="1"/>
  <c r="AE14" i="1" s="1"/>
  <c r="Y45" i="1" l="1"/>
  <c r="X45" i="1"/>
  <c r="V45" i="1"/>
  <c r="L45" i="1"/>
  <c r="Y39" i="1"/>
  <c r="Z39" i="1" s="1"/>
  <c r="X39" i="1"/>
  <c r="V39" i="1"/>
  <c r="T39" i="1"/>
  <c r="L39" i="1"/>
  <c r="Y21" i="1"/>
  <c r="Z21" i="1" s="1"/>
  <c r="X21" i="1"/>
  <c r="V21" i="1"/>
  <c r="T21" i="1"/>
  <c r="Y14" i="1"/>
  <c r="Z14" i="1" s="1"/>
  <c r="X14" i="1"/>
  <c r="V14" i="1"/>
  <c r="T14" i="1"/>
  <c r="Y41" i="1"/>
  <c r="Z41" i="1" s="1"/>
  <c r="X41" i="1"/>
  <c r="T41" i="1"/>
  <c r="Y19" i="1"/>
  <c r="Z19" i="1" s="1"/>
  <c r="X19" i="1"/>
  <c r="V19" i="1"/>
  <c r="T19" i="1"/>
  <c r="Z52" i="1" l="1"/>
  <c r="Z57" i="1"/>
  <c r="Y15" i="1" l="1"/>
  <c r="Z15" i="1" s="1"/>
  <c r="X15" i="1"/>
  <c r="V15" i="1"/>
  <c r="T15" i="1"/>
  <c r="Y43" i="1"/>
  <c r="X43" i="1"/>
  <c r="V43" i="1"/>
  <c r="L43" i="1"/>
  <c r="Y13" i="1"/>
  <c r="Z13" i="1" s="1"/>
  <c r="X13" i="1"/>
  <c r="V13" i="1"/>
  <c r="T13" i="1"/>
  <c r="L13" i="1"/>
  <c r="Y37" i="1"/>
  <c r="Z37" i="1" s="1"/>
  <c r="X37" i="1"/>
  <c r="V37" i="1"/>
  <c r="T37" i="1"/>
  <c r="Y29" i="1"/>
  <c r="Z29" i="1" s="1"/>
  <c r="X29" i="1"/>
  <c r="V29" i="1"/>
  <c r="T29" i="1"/>
  <c r="L29" i="1"/>
  <c r="Y35" i="1"/>
  <c r="Z35" i="1" s="1"/>
  <c r="X35" i="1"/>
  <c r="V35" i="1"/>
  <c r="T35" i="1"/>
  <c r="L35" i="1"/>
  <c r="L26" i="1" l="1"/>
  <c r="F12" i="1" l="1"/>
  <c r="AE12" i="1" l="1"/>
  <c r="L24" i="1"/>
  <c r="Y26" i="1" l="1"/>
  <c r="Z26" i="1" s="1"/>
  <c r="X26" i="1"/>
  <c r="V26" i="1"/>
  <c r="T26" i="1"/>
  <c r="Y27" i="1"/>
  <c r="Z27" i="1" s="1"/>
  <c r="X27" i="1"/>
  <c r="V27" i="1"/>
  <c r="T27" i="1"/>
  <c r="L27" i="1"/>
  <c r="Y28" i="1"/>
  <c r="Z28" i="1" s="1"/>
  <c r="X28" i="1"/>
  <c r="V28" i="1"/>
  <c r="T28" i="1"/>
  <c r="L28" i="1"/>
  <c r="Y48" i="1"/>
  <c r="Z48" i="1" s="1"/>
  <c r="X48" i="1"/>
  <c r="V48" i="1"/>
  <c r="L48" i="1"/>
  <c r="Y11" i="1"/>
  <c r="Z11" i="1" s="1"/>
  <c r="X11" i="1"/>
  <c r="V11" i="1"/>
  <c r="T11" i="1"/>
  <c r="Y30" i="1"/>
  <c r="Z30" i="1" s="1"/>
  <c r="X30" i="1"/>
  <c r="V30" i="1"/>
  <c r="T30" i="1"/>
  <c r="L30" i="1"/>
  <c r="Y56" i="1"/>
  <c r="V56" i="1"/>
  <c r="T56" i="1"/>
  <c r="R56" i="1"/>
  <c r="L56" i="1"/>
  <c r="Y12" i="1"/>
  <c r="Z12" i="1" s="1"/>
  <c r="X12" i="1"/>
  <c r="V12" i="1"/>
  <c r="T12" i="1"/>
  <c r="L12" i="1"/>
  <c r="R5" i="1" l="1"/>
  <c r="Y5" i="1" l="1"/>
  <c r="Z5" i="1" l="1"/>
  <c r="Y7" i="1"/>
  <c r="Z7" i="1" s="1"/>
  <c r="Y20" i="1"/>
  <c r="Z20" i="1" s="1"/>
  <c r="Y4" i="1"/>
  <c r="Z4" i="1" s="1"/>
  <c r="Y34" i="1"/>
  <c r="Z34" i="1" s="1"/>
  <c r="Y52" i="1"/>
  <c r="Y22" i="1"/>
  <c r="Z22" i="1" s="1"/>
  <c r="Y24" i="1"/>
  <c r="Z24" i="1" s="1"/>
  <c r="Y33" i="1"/>
  <c r="Z33" i="1" s="1"/>
  <c r="Y6" i="1"/>
  <c r="Z6" i="1" s="1"/>
  <c r="Y47" i="1"/>
  <c r="Y44" i="1"/>
  <c r="Y49" i="1"/>
  <c r="Z49" i="1" s="1"/>
  <c r="Y25" i="1"/>
  <c r="Z25" i="1" s="1"/>
  <c r="Y9" i="1"/>
  <c r="Z9" i="1" s="1"/>
  <c r="Y16" i="1"/>
  <c r="Z16" i="1" s="1"/>
  <c r="Y31" i="1"/>
  <c r="Z31" i="1" s="1"/>
  <c r="Y10" i="1"/>
  <c r="Z10" i="1" s="1"/>
  <c r="Y32" i="1"/>
  <c r="Z32" i="1" s="1"/>
  <c r="Y57" i="1"/>
  <c r="Y46" i="1"/>
  <c r="X33" i="1" l="1"/>
  <c r="X5" i="1"/>
  <c r="X6" i="1"/>
  <c r="X7" i="1"/>
  <c r="X47" i="1"/>
  <c r="X44" i="1"/>
  <c r="X49" i="1"/>
  <c r="T7" i="1" l="1"/>
  <c r="X34" i="1"/>
  <c r="X52" i="1"/>
  <c r="X22" i="1"/>
  <c r="X4" i="1"/>
  <c r="X24" i="1"/>
  <c r="X20" i="1"/>
  <c r="X25" i="1"/>
  <c r="X9" i="1"/>
  <c r="X16" i="1"/>
  <c r="X31" i="1"/>
  <c r="X10" i="1"/>
  <c r="X32" i="1"/>
  <c r="X46" i="1"/>
  <c r="T34" i="1"/>
  <c r="R52" i="1"/>
  <c r="R4" i="1"/>
  <c r="R6" i="1"/>
  <c r="R7" i="1"/>
  <c r="R57" i="1"/>
  <c r="V3" i="1"/>
  <c r="V34" i="1"/>
  <c r="V52" i="1"/>
  <c r="V22" i="1"/>
  <c r="V4" i="1"/>
  <c r="V24" i="1"/>
  <c r="V20" i="1"/>
  <c r="V33" i="1"/>
  <c r="V6" i="1"/>
  <c r="V7" i="1"/>
  <c r="V47" i="1"/>
  <c r="V44" i="1"/>
  <c r="V49" i="1"/>
  <c r="V25" i="1"/>
  <c r="V9" i="1"/>
  <c r="V16" i="1"/>
  <c r="V31" i="1"/>
  <c r="V10" i="1"/>
  <c r="V32" i="1"/>
  <c r="V57" i="1"/>
  <c r="V46" i="1"/>
  <c r="T3" i="1"/>
  <c r="T52" i="1"/>
  <c r="T22" i="1"/>
  <c r="T4" i="1"/>
  <c r="T24" i="1"/>
  <c r="T20" i="1"/>
  <c r="T33" i="1"/>
  <c r="T6" i="1"/>
  <c r="T25" i="1"/>
  <c r="T9" i="1"/>
  <c r="T16" i="1"/>
  <c r="T31" i="1"/>
  <c r="T10" i="1"/>
  <c r="T32" i="1"/>
  <c r="T57" i="1"/>
  <c r="L5" i="1" l="1"/>
  <c r="L6" i="1"/>
  <c r="L7" i="1"/>
  <c r="L32" i="1"/>
  <c r="L10" i="1"/>
  <c r="L31" i="1"/>
  <c r="L3" i="1" l="1"/>
  <c r="L34" i="1"/>
  <c r="L52" i="1"/>
  <c r="L22" i="1"/>
  <c r="L47" i="1"/>
  <c r="L44" i="1"/>
  <c r="L4" i="1"/>
  <c r="L49" i="1"/>
  <c r="L20" i="1"/>
  <c r="L25" i="1"/>
  <c r="L9" i="1"/>
  <c r="L16" i="1"/>
  <c r="L33" i="1"/>
  <c r="L57" i="1"/>
  <c r="F22" i="1" l="1"/>
  <c r="AE22" i="1" l="1"/>
  <c r="L46" i="1"/>
  <c r="C3" i="7" l="1"/>
  <c r="C10" i="7" l="1"/>
  <c r="E11" i="7" s="1"/>
</calcChain>
</file>

<file path=xl/sharedStrings.xml><?xml version="1.0" encoding="utf-8"?>
<sst xmlns="http://schemas.openxmlformats.org/spreadsheetml/2006/main" count="611" uniqueCount="291">
  <si>
    <t>DETALLE</t>
  </si>
  <si>
    <t>MAQUINA</t>
  </si>
  <si>
    <t>PRODUCTO</t>
  </si>
  <si>
    <t>CALIBRACION</t>
  </si>
  <si>
    <t>MTS PEDIDO</t>
  </si>
  <si>
    <t>MTS PRODUCCION</t>
  </si>
  <si>
    <t>MTS FALLA</t>
  </si>
  <si>
    <t>KG DE FALLA</t>
  </si>
  <si>
    <t>% FALLA</t>
  </si>
  <si>
    <t>INGRESO</t>
  </si>
  <si>
    <t>APROBACION</t>
  </si>
  <si>
    <t>INICIO PRODUCCION</t>
  </si>
  <si>
    <t>FIN PRODUCCION</t>
  </si>
  <si>
    <t>ESTADO</t>
  </si>
  <si>
    <t xml:space="preserve">CLIENTE </t>
  </si>
  <si>
    <t>MTS X HORA</t>
  </si>
  <si>
    <t>COLOR</t>
  </si>
  <si>
    <t>OBSERVACIONES</t>
  </si>
  <si>
    <t>MTS FACRURADOS</t>
  </si>
  <si>
    <t>STOCK</t>
  </si>
  <si>
    <t>ORDENES DE PRODUCCION JULIO</t>
  </si>
  <si>
    <t>OP52 JUN</t>
  </si>
  <si>
    <t>JAQ#2</t>
  </si>
  <si>
    <t>ELASTICO</t>
  </si>
  <si>
    <t>OP36 JUN</t>
  </si>
  <si>
    <t>ELASTICO BOSTON</t>
  </si>
  <si>
    <t xml:space="preserve">ELASTICO ZAPATO REFORZADO 10MM APRESTO </t>
  </si>
  <si>
    <t>JAQ#4</t>
  </si>
  <si>
    <t>REATA</t>
  </si>
  <si>
    <t>OP29 MAY</t>
  </si>
  <si>
    <t>JAQ#7</t>
  </si>
  <si>
    <t>CORDON</t>
  </si>
  <si>
    <t>CORDON TELAR TUBULAR NYLON JAQUARD</t>
  </si>
  <si>
    <t>ARRIECHE</t>
  </si>
  <si>
    <t>BOSTON</t>
  </si>
  <si>
    <t>OP07 JUN</t>
  </si>
  <si>
    <t>JAQ#8</t>
  </si>
  <si>
    <t>OP37 JUN</t>
  </si>
  <si>
    <t>JAVIER</t>
  </si>
  <si>
    <t xml:space="preserve">MAQUINA SE PARA A CADA RATO POR TRAMA DE LANAFIT SALE CON FALLAS / EL HILO VIENE MUY RESECO </t>
  </si>
  <si>
    <t>OP31 JUN</t>
  </si>
  <si>
    <t>JAQ18</t>
  </si>
  <si>
    <t>JOSE</t>
  </si>
  <si>
    <t>OP33 ABRIL</t>
  </si>
  <si>
    <t>KY#7</t>
  </si>
  <si>
    <t>OP38 JUN</t>
  </si>
  <si>
    <t>REATA CONFECCION EMPALMADA DELGADA 7MM</t>
  </si>
  <si>
    <t>KY#6</t>
  </si>
  <si>
    <t>FAME</t>
  </si>
  <si>
    <t xml:space="preserve">ELASTICO FILA </t>
  </si>
  <si>
    <t>JAQ#12</t>
  </si>
  <si>
    <t xml:space="preserve">TERMINADO </t>
  </si>
  <si>
    <t>TOTAL</t>
  </si>
  <si>
    <t>CLAUDIO</t>
  </si>
  <si>
    <t>ACERO/ COBALTO</t>
  </si>
  <si>
    <t>BLANCO/BEIGE/MELON/NEGRO</t>
  </si>
  <si>
    <t>ARREGLANDO CAUCHOS /ARREGLANDO TIRS TORCIDAS</t>
  </si>
  <si>
    <t>OP26 27 JUN</t>
  </si>
  <si>
    <t xml:space="preserve">REATA SANDALIA TUBULAR LUREX 25MM </t>
  </si>
  <si>
    <t>KY#5</t>
  </si>
  <si>
    <t>AZUL MARIN ROJO/NEGRO BLANCO</t>
  </si>
  <si>
    <t>AZUL MARINO/NEGRO</t>
  </si>
  <si>
    <t>NEGRO /GRIS PERLA</t>
  </si>
  <si>
    <t>OP43 JUN</t>
  </si>
  <si>
    <t>REATA MOCHILA DELGADA 10MM</t>
  </si>
  <si>
    <t>JAQ10</t>
  </si>
  <si>
    <t>CRIOLLO CRISTIAN JESUS</t>
  </si>
  <si>
    <t xml:space="preserve">BLANC0 / BEIGE / PLATA FDY </t>
  </si>
  <si>
    <t>FILA</t>
  </si>
  <si>
    <t xml:space="preserve">BLANCO </t>
  </si>
  <si>
    <t>ELASTICO BOXER BOSTON 30 MM</t>
  </si>
  <si>
    <t>OP34 JUN</t>
  </si>
  <si>
    <t xml:space="preserve">REATA CONFECCION EMPALMADA 15MM </t>
  </si>
  <si>
    <t>CARLOS</t>
  </si>
  <si>
    <t>IMPORTIZ</t>
  </si>
  <si>
    <t>OP57 JUN</t>
  </si>
  <si>
    <t>REATA ZAPATO TUBULAR OJAL FDY 10MM</t>
  </si>
  <si>
    <t>JAQ5</t>
  </si>
  <si>
    <t xml:space="preserve">NUNES SANTIAGO </t>
  </si>
  <si>
    <t>NEGRO / NEGRO/ CAFÉ/NEGRO</t>
  </si>
  <si>
    <t>SE DEMORA POR MAQUINA CON CARGA DE TRABAJO</t>
  </si>
  <si>
    <t>KY#2</t>
  </si>
  <si>
    <t>OSCAR</t>
  </si>
  <si>
    <t>OP59 JUN</t>
  </si>
  <si>
    <t>REATA ZAPATO TAFETA DELGADA 20MM</t>
  </si>
  <si>
    <t>JAQ#11</t>
  </si>
  <si>
    <t>FAME+STOCK</t>
  </si>
  <si>
    <t>PATUCA</t>
  </si>
  <si>
    <t>OP50 JUN</t>
  </si>
  <si>
    <t>JAQ13</t>
  </si>
  <si>
    <t xml:space="preserve">ELASTICO CONFECCION FAJAS MEDICAS NYLON 25MM </t>
  </si>
  <si>
    <t xml:space="preserve">NUÑEZ / BUENANO </t>
  </si>
  <si>
    <t>CRUDO</t>
  </si>
  <si>
    <t>OP10 JUN</t>
  </si>
  <si>
    <t xml:space="preserve">REATA SANDALIA TUBULAR GRUESA 2 CANALES </t>
  </si>
  <si>
    <t>KY15</t>
  </si>
  <si>
    <t>MARTA MOTESINOS</t>
  </si>
  <si>
    <t>AZUL MARNO/NEGRO</t>
  </si>
  <si>
    <t xml:space="preserve">BEIGE </t>
  </si>
  <si>
    <t>OP49 JUN</t>
  </si>
  <si>
    <t>REATA CONFECCION EMPALMADA 10MM</t>
  </si>
  <si>
    <t>KY#17</t>
  </si>
  <si>
    <t>OP05 JUL</t>
  </si>
  <si>
    <t>IMTEXMEL</t>
  </si>
  <si>
    <t>OP15 JUN</t>
  </si>
  <si>
    <t>REATA SANDALIA EMPALMADA COCIDO CENTRAL 30MM</t>
  </si>
  <si>
    <t>KY#14</t>
  </si>
  <si>
    <t>NEGRO/AZUL MARINO/CAFÉ</t>
  </si>
  <si>
    <t>ACERO/COBALTO</t>
  </si>
  <si>
    <t>OP22 JUN</t>
  </si>
  <si>
    <t>KY#12</t>
  </si>
  <si>
    <t>NEGRO /CAFÉ</t>
  </si>
  <si>
    <t>CORDON TELAR TUBULAR PLANO POLIESTER 14MM</t>
  </si>
  <si>
    <t>OP58 JUN</t>
  </si>
  <si>
    <t>FECHA DE FACTURACION</t>
  </si>
  <si>
    <t>FECHA FIN ENVOLTURA</t>
  </si>
  <si>
    <t>RETA CONFECCION EMPALMDA DELGADA 7MM</t>
  </si>
  <si>
    <t>EFICIENCIA MAQUINA</t>
  </si>
  <si>
    <t xml:space="preserve">FECHA URDIDO </t>
  </si>
  <si>
    <t>DIAS</t>
  </si>
  <si>
    <t>URDIDO</t>
  </si>
  <si>
    <t>PRODUCCION</t>
  </si>
  <si>
    <t>ENVOLTURA</t>
  </si>
  <si>
    <t>FACTURACION</t>
  </si>
  <si>
    <t xml:space="preserve">EFICIENCIA DE ENTREGA </t>
  </si>
  <si>
    <t>MONTESINOS/IMPORTIZ/STOCK</t>
  </si>
  <si>
    <t>OP46 47 JUN</t>
  </si>
  <si>
    <t>REATA CONFECCION EMPALMDA PES 10MM</t>
  </si>
  <si>
    <t>RAMOS /NUÑEZ</t>
  </si>
  <si>
    <t>AZUL MARINO PLOMO/BLANCO</t>
  </si>
  <si>
    <t>OP44 45 JUN</t>
  </si>
  <si>
    <t>REATA MOCHILA DELGADA 15 10 MM</t>
  </si>
  <si>
    <t>JAQ#10</t>
  </si>
  <si>
    <t xml:space="preserve">AZUL M / PLOMO/ROSADO/BLANCO </t>
  </si>
  <si>
    <t>DIAS TOTAL</t>
  </si>
  <si>
    <t>REATA SUBLIMACION CORREA 25MM</t>
  </si>
  <si>
    <t>KY#19</t>
  </si>
  <si>
    <t>BLANCO Z1-0</t>
  </si>
  <si>
    <t>OP03 JUL</t>
  </si>
  <si>
    <t>JAQ#1</t>
  </si>
  <si>
    <t>ELASTICO TEDDY FRESH 40MM</t>
  </si>
  <si>
    <t>JAQ#6</t>
  </si>
  <si>
    <t xml:space="preserve">OP04 JUL </t>
  </si>
  <si>
    <t>REATA ZAPATO OJAL PES FDY 10MM</t>
  </si>
  <si>
    <t>NUNEZ</t>
  </si>
  <si>
    <t>RESTREPO CRISTINA</t>
  </si>
  <si>
    <t>NEGRO/BLANCO</t>
  </si>
  <si>
    <t xml:space="preserve">CORDON PLANO 160PP SUPER ANCHO PES </t>
  </si>
  <si>
    <t>VERDE MILITAR</t>
  </si>
  <si>
    <t>OP39 JUN</t>
  </si>
  <si>
    <t>OP64 JUN</t>
  </si>
  <si>
    <t xml:space="preserve">OP23 ABRIL </t>
  </si>
  <si>
    <t>ELASTICO ZAPATO LABARDO 6MM</t>
  </si>
  <si>
    <t>NEGRO</t>
  </si>
  <si>
    <t>CORDON RACHELL</t>
  </si>
  <si>
    <t>RACHELL</t>
  </si>
  <si>
    <t>OCHOA</t>
  </si>
  <si>
    <t>TURQUEZA</t>
  </si>
  <si>
    <t>0,90</t>
  </si>
  <si>
    <t>OP51 MAY</t>
  </si>
  <si>
    <t>KY#9</t>
  </si>
  <si>
    <t>KY#11</t>
  </si>
  <si>
    <t>BLANCO CRUDO NEGRO</t>
  </si>
  <si>
    <t>OP48 JUN</t>
  </si>
  <si>
    <t>REATA CONFECCION EMPALMADA 20MM</t>
  </si>
  <si>
    <t>REATA SANDALIA TUBULAR COCIDO INVISIBLE 20MM</t>
  </si>
  <si>
    <t xml:space="preserve">IMPORTIZ </t>
  </si>
  <si>
    <t xml:space="preserve"> RAMOS HARO EDWIN ERNAN NUNEZ ACOSTA RAUL SANTIAGO </t>
  </si>
  <si>
    <t>MATUTE +STOCK</t>
  </si>
  <si>
    <t xml:space="preserve">OP11 12 JUL </t>
  </si>
  <si>
    <t>REATA ZAPATO TAFETA DELGADA 10 15 MM</t>
  </si>
  <si>
    <t>VARIOS</t>
  </si>
  <si>
    <t>CHICAIZA RODRIGUEZ CARMEN ABELINA  SANI</t>
  </si>
  <si>
    <t xml:space="preserve">FILA </t>
  </si>
  <si>
    <t xml:space="preserve">FAME </t>
  </si>
  <si>
    <t xml:space="preserve">NEGRO/BLANCO/BLANCO NEGRO </t>
  </si>
  <si>
    <t>TERMINADO</t>
  </si>
  <si>
    <t>NEGRO/AZUL M/NEGRO/CAFÉ</t>
  </si>
  <si>
    <t>OP13 14 JUL</t>
  </si>
  <si>
    <t>JESSICA</t>
  </si>
  <si>
    <t>CHICAIZA ROGRIGUEZ</t>
  </si>
  <si>
    <t xml:space="preserve">BLANCO / PLATA/BEIGE </t>
  </si>
  <si>
    <t xml:space="preserve">NO SE URDE PRONTO ORDENES A LA FILA </t>
  </si>
  <si>
    <t xml:space="preserve">ORDENES PARA STOCK </t>
  </si>
  <si>
    <t>OP51 JUN</t>
  </si>
  <si>
    <t>BLANCO/CRUDO</t>
  </si>
  <si>
    <t>OP02 JUL</t>
  </si>
  <si>
    <t>REATA SANDALIA GRUESA 15MM</t>
  </si>
  <si>
    <t>JAQ11</t>
  </si>
  <si>
    <t>COMPANIA LUIGI VALDINI</t>
  </si>
  <si>
    <t>NEGRO/PATCA</t>
  </si>
  <si>
    <t>OP53 JUN</t>
  </si>
  <si>
    <t xml:space="preserve">ELASTICO BOSTON ACERO/COBALTO </t>
  </si>
  <si>
    <t>JAQ9</t>
  </si>
  <si>
    <t xml:space="preserve">OP29 JUL </t>
  </si>
  <si>
    <t>RAMOS EDWIN</t>
  </si>
  <si>
    <t xml:space="preserve">NEGRO/AZUL MARINO </t>
  </si>
  <si>
    <t xml:space="preserve">OP19 26 JUL </t>
  </si>
  <si>
    <t>KY6</t>
  </si>
  <si>
    <t>RICACHI ANGEL+STOCK</t>
  </si>
  <si>
    <t>OP13 JUN</t>
  </si>
  <si>
    <t>N</t>
  </si>
  <si>
    <t>NOMBRE</t>
  </si>
  <si>
    <t>NUMERO DE VECES</t>
  </si>
  <si>
    <t xml:space="preserve">ARTICULO </t>
  </si>
  <si>
    <t xml:space="preserve">OBSERVACIONES </t>
  </si>
  <si>
    <t>CALIBRACION MES DE JULIO</t>
  </si>
  <si>
    <t>OP35 JUN</t>
  </si>
  <si>
    <t>OP35 ABR</t>
  </si>
  <si>
    <t>REATA CONFECCION ZARGA COLCHON PES 37MM SR NACIONAL</t>
  </si>
  <si>
    <t xml:space="preserve">CRUDO - MORADO-CELESTE </t>
  </si>
  <si>
    <t xml:space="preserve">ORDEN PARA ESTOCK </t>
  </si>
  <si>
    <t xml:space="preserve">2 CORDON, 2 REATAS,  2 ELASTICOS </t>
  </si>
  <si>
    <t xml:space="preserve">6 REATAS, 3 CORDON, 1 ELASTICO </t>
  </si>
  <si>
    <t xml:space="preserve">6 REATAS, 2 ELASTICOS </t>
  </si>
  <si>
    <t xml:space="preserve">4 RETAS, 2 ELASTICOS </t>
  </si>
  <si>
    <t>7 REATAS, 5 ELASTICOS , 1 CORDON</t>
  </si>
  <si>
    <t xml:space="preserve">1 REATA, 1 CORDON </t>
  </si>
  <si>
    <t>ALEXANDER</t>
  </si>
  <si>
    <t xml:space="preserve">OP07 JUL </t>
  </si>
  <si>
    <t>REATA SANDALIA TUBULAR GRUESA 2 CANALES 30MM</t>
  </si>
  <si>
    <t xml:space="preserve">AMPARO </t>
  </si>
  <si>
    <t>EVELYN</t>
  </si>
  <si>
    <t>OJO ESTA ORDEN SE MANDO HACER PARA EL CLIENTE Y PARA STOCK</t>
  </si>
  <si>
    <t xml:space="preserve">OP15 16 JUL </t>
  </si>
  <si>
    <t xml:space="preserve">ELASTICO CROCHET 20 15 MM </t>
  </si>
  <si>
    <t xml:space="preserve">NUNEZ RAUL </t>
  </si>
  <si>
    <t>KY#10</t>
  </si>
  <si>
    <t>OP55 JUN</t>
  </si>
  <si>
    <t>JAQ#17</t>
  </si>
  <si>
    <t xml:space="preserve">SE DEMORAN EN URDIR /URDIDOS EN FILA Y MAQUINA CON CARGA DE TRABAJO </t>
  </si>
  <si>
    <t xml:space="preserve">MAQUINA CON CARGA DE TRABAJO /URDIDOS RETRASADOS </t>
  </si>
  <si>
    <t>SE DEMORA EN MANDAR A ENVOLTURA</t>
  </si>
  <si>
    <t xml:space="preserve">SE DEMORA EN URDIR Y MAQUINA CON CARGA DE TRABAJO </t>
  </si>
  <si>
    <t xml:space="preserve">SE DEMORA EN URDIR Y EN ENVOLTURA </t>
  </si>
  <si>
    <t xml:space="preserve">CORDON PLANO ANCHO 160 PP NEGRO / BLANCO </t>
  </si>
  <si>
    <t xml:space="preserve">SE DEMORA EN URDIR </t>
  </si>
  <si>
    <t xml:space="preserve">ESTABA PARADA HASTA QUE CLIENTE CONFIRME </t>
  </si>
  <si>
    <t xml:space="preserve">URDIDO A LA FILA </t>
  </si>
  <si>
    <t>EN ESTA PRODUCCION SE VUEVE AUMENTAR 3 TIRAS MAS</t>
  </si>
  <si>
    <t>ELASTICO CONFECCION BOSTON VERDE BOTELLA</t>
  </si>
  <si>
    <t>ELASTICO ZAPATO REFORZADO PES 6MM</t>
  </si>
  <si>
    <t>NUNE SANTIAGO</t>
  </si>
  <si>
    <t xml:space="preserve">OP22 JUL </t>
  </si>
  <si>
    <t>REATA SANDALI TUBULAR OJAL PES FDY 10MM</t>
  </si>
  <si>
    <t>JAQ#5</t>
  </si>
  <si>
    <t xml:space="preserve">OP25 30 JUL </t>
  </si>
  <si>
    <t xml:space="preserve">CORDON RACHELL </t>
  </si>
  <si>
    <t>CABEZAS RAMIRES+LALVAY MONICA</t>
  </si>
  <si>
    <t>OP35 31 JUL</t>
  </si>
  <si>
    <t>OP52 MAY</t>
  </si>
  <si>
    <t xml:space="preserve">CORDON PLANO 88PP SR NACIONAL </t>
  </si>
  <si>
    <t>KY16</t>
  </si>
  <si>
    <t xml:space="preserve">DIAS ESTIMADOS DE PRODUCCION </t>
  </si>
  <si>
    <t xml:space="preserve">DIAS REALES DE PRODUCCION </t>
  </si>
  <si>
    <t xml:space="preserve">CRUDO/BLANCO </t>
  </si>
  <si>
    <t>AZUL MARINO/ROJO</t>
  </si>
  <si>
    <t>GRIS PERLA</t>
  </si>
  <si>
    <t>VERDE BOTELLA</t>
  </si>
  <si>
    <t xml:space="preserve">NEGRO </t>
  </si>
  <si>
    <t xml:space="preserve">URDIDO A LA FILA SE DEMORAN EN URDIR </t>
  </si>
  <si>
    <t>-</t>
  </si>
  <si>
    <t xml:space="preserve">REATA SANDALIA EMPALMADA MULTICOLOR </t>
  </si>
  <si>
    <t xml:space="preserve">MAQUINA CON CARGA DE TRABAJO  RETRASADOS </t>
  </si>
  <si>
    <t>NEGRO/CAFÉ</t>
  </si>
  <si>
    <t xml:space="preserve">SE TIENE QUE CAMBIAR EL RENDIMIENTO / SE DEMORA POR MAQUINA CON CARGA DE TRABAJO </t>
  </si>
  <si>
    <t xml:space="preserve">NUNEZ SANTIAGO </t>
  </si>
  <si>
    <t xml:space="preserve">KY#17 </t>
  </si>
  <si>
    <t xml:space="preserve">REATA ZAPATO TAFETA DELGADA 20MM </t>
  </si>
  <si>
    <t xml:space="preserve">OP20 JUL </t>
  </si>
  <si>
    <t xml:space="preserve">OP33 34 JUL </t>
  </si>
  <si>
    <t xml:space="preserve">REATA MOCHILA DELGADA 10 15MM </t>
  </si>
  <si>
    <t>OP40 JUN</t>
  </si>
  <si>
    <t>OP42 JUN</t>
  </si>
  <si>
    <t>KY#16</t>
  </si>
  <si>
    <t>OP33 JUN</t>
  </si>
  <si>
    <t>REATA SANDALIA GRUESA 2 CANALES 30MM</t>
  </si>
  <si>
    <t>KY#15</t>
  </si>
  <si>
    <t xml:space="preserve">ALFONSO IVAN </t>
  </si>
  <si>
    <t>NUNEZ / BUENANO</t>
  </si>
  <si>
    <t xml:space="preserve">45 DIAS RETAS DE IMPORTIZ </t>
  </si>
  <si>
    <t xml:space="preserve">OP28 JUN </t>
  </si>
  <si>
    <t xml:space="preserve">OP30 JUN </t>
  </si>
  <si>
    <t xml:space="preserve">URDIDO DE COLOR TURQUEZA MOLESTA VIENE CON FALLA </t>
  </si>
  <si>
    <t>KY12</t>
  </si>
  <si>
    <t xml:space="preserve">REATA SANDALIA EMPALMADA FRANJA CENTRAL LUREX 20MM </t>
  </si>
  <si>
    <t>OP23 JUN</t>
  </si>
  <si>
    <t xml:space="preserve">VARIOS </t>
  </si>
  <si>
    <t xml:space="preserve">OP16 ABRIL </t>
  </si>
  <si>
    <t>ORDEN SE DA DE BAJA POR QUE CLIENTE NO CONFIRMA NADA SE DA POR TERMINADA</t>
  </si>
  <si>
    <t xml:space="preserve">MAQUINA SE DAÑABA EL CABEZAL SE QUEDO PARADA HASTA QUE ARREGLEN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</si>
</sst>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b/>
      <sz val="10"/>
      <color theme="2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Century Gothic"/>
      <family val="2"/>
    </font>
    <font>
      <b/>
      <sz val="16"/>
      <color theme="1"/>
      <name val="Century Gothic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9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9" fontId="3" fillId="14" borderId="1" xfId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0" xfId="0" applyNumberFormat="1" applyFont="1"/>
    <xf numFmtId="9" fontId="1" fillId="7" borderId="1" xfId="1" applyFont="1" applyFill="1" applyBorder="1" applyAlignment="1">
      <alignment horizontal="center" vertical="center" wrapText="1"/>
    </xf>
    <xf numFmtId="9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9" fontId="3" fillId="0" borderId="1" xfId="1" applyFont="1" applyBorder="1" applyAlignment="1">
      <alignment horizontal="center"/>
    </xf>
    <xf numFmtId="9" fontId="1" fillId="8" borderId="1" xfId="1" applyFont="1" applyFill="1" applyBorder="1" applyAlignment="1">
      <alignment horizontal="center" vertical="center" wrapText="1"/>
    </xf>
    <xf numFmtId="9" fontId="3" fillId="0" borderId="0" xfId="1" applyFont="1" applyAlignment="1">
      <alignment horizontal="center"/>
    </xf>
    <xf numFmtId="0" fontId="1" fillId="9" borderId="1" xfId="0" applyFont="1" applyFill="1" applyBorder="1" applyAlignment="1">
      <alignment horizontal="left" vertical="center"/>
    </xf>
    <xf numFmtId="14" fontId="3" fillId="16" borderId="1" xfId="0" applyNumberFormat="1" applyFont="1" applyFill="1" applyBorder="1"/>
    <xf numFmtId="14" fontId="3" fillId="15" borderId="1" xfId="0" applyNumberFormat="1" applyFont="1" applyFill="1" applyBorder="1"/>
    <xf numFmtId="14" fontId="3" fillId="15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NumberFormat="1" applyFont="1"/>
    <xf numFmtId="14" fontId="3" fillId="12" borderId="2" xfId="0" applyNumberFormat="1" applyFont="1" applyFill="1" applyBorder="1"/>
    <xf numFmtId="14" fontId="3" fillId="12" borderId="2" xfId="0" applyNumberFormat="1" applyFont="1" applyFill="1" applyBorder="1" applyAlignment="1">
      <alignment horizontal="center" vertical="center"/>
    </xf>
    <xf numFmtId="14" fontId="3" fillId="17" borderId="3" xfId="0" applyNumberFormat="1" applyFont="1" applyFill="1" applyBorder="1"/>
    <xf numFmtId="14" fontId="3" fillId="17" borderId="3" xfId="0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18" borderId="1" xfId="0" applyNumberFormat="1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7" fillId="0" borderId="0" xfId="0" applyFont="1"/>
    <xf numFmtId="0" fontId="9" fillId="19" borderId="0" xfId="0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9" fillId="19" borderId="0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2" borderId="2" xfId="0" applyFont="1" applyFill="1" applyBorder="1" applyAlignment="1"/>
    <xf numFmtId="0" fontId="7" fillId="12" borderId="6" xfId="0" applyFont="1" applyFill="1" applyBorder="1" applyAlignment="1"/>
    <xf numFmtId="0" fontId="7" fillId="12" borderId="3" xfId="0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2" fontId="9" fillId="19" borderId="0" xfId="0" applyNumberFormat="1" applyFont="1" applyFill="1" applyBorder="1" applyAlignment="1">
      <alignment vertical="center" wrapText="1"/>
    </xf>
    <xf numFmtId="0" fontId="4" fillId="24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/>
    </xf>
    <xf numFmtId="14" fontId="3" fillId="12" borderId="2" xfId="0" applyNumberFormat="1" applyFont="1" applyFill="1" applyBorder="1" applyAlignment="1">
      <alignment vertical="center"/>
    </xf>
    <xf numFmtId="14" fontId="3" fillId="17" borderId="3" xfId="0" applyNumberFormat="1" applyFont="1" applyFill="1" applyBorder="1" applyAlignment="1">
      <alignment vertical="center"/>
    </xf>
    <xf numFmtId="14" fontId="3" fillId="16" borderId="1" xfId="0" applyNumberFormat="1" applyFont="1" applyFill="1" applyBorder="1" applyAlignment="1">
      <alignment vertical="center"/>
    </xf>
    <xf numFmtId="14" fontId="3" fillId="15" borderId="1" xfId="0" applyNumberFormat="1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4" fontId="3" fillId="17" borderId="1" xfId="0" applyNumberFormat="1" applyFont="1" applyFill="1" applyBorder="1"/>
    <xf numFmtId="14" fontId="9" fillId="19" borderId="0" xfId="0" applyNumberFormat="1" applyFont="1" applyFill="1" applyBorder="1" applyAlignment="1">
      <alignment vertical="center" wrapText="1"/>
    </xf>
    <xf numFmtId="0" fontId="9" fillId="19" borderId="0" xfId="0" applyNumberFormat="1" applyFont="1" applyFill="1" applyBorder="1" applyAlignment="1">
      <alignment horizontal="center" vertical="center" wrapText="1"/>
    </xf>
    <xf numFmtId="0" fontId="4" fillId="18" borderId="1" xfId="0" applyNumberFormat="1" applyFont="1" applyFill="1" applyBorder="1" applyAlignment="1">
      <alignment horizontal="center" vertical="center" wrapText="1"/>
    </xf>
    <xf numFmtId="0" fontId="0" fillId="17" borderId="1" xfId="0" applyNumberFormat="1" applyFill="1" applyBorder="1" applyAlignment="1">
      <alignment horizontal="center" vertical="center"/>
    </xf>
    <xf numFmtId="0" fontId="3" fillId="17" borderId="1" xfId="0" applyNumberFormat="1" applyFont="1" applyFill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/>
    </xf>
    <xf numFmtId="1" fontId="3" fillId="0" borderId="0" xfId="0" applyNumberFormat="1" applyFont="1"/>
    <xf numFmtId="14" fontId="3" fillId="12" borderId="1" xfId="0" applyNumberFormat="1" applyFont="1" applyFill="1" applyBorder="1"/>
    <xf numFmtId="1" fontId="3" fillId="0" borderId="0" xfId="0" applyNumberFormat="1" applyFont="1" applyAlignment="1">
      <alignment horizontal="center"/>
    </xf>
    <xf numFmtId="0" fontId="7" fillId="0" borderId="1" xfId="0" applyFont="1" applyBorder="1"/>
    <xf numFmtId="0" fontId="3" fillId="12" borderId="1" xfId="0" applyNumberFormat="1" applyFont="1" applyFill="1" applyBorder="1"/>
    <xf numFmtId="0" fontId="3" fillId="17" borderId="1" xfId="0" applyNumberFormat="1" applyFont="1" applyFill="1" applyBorder="1"/>
    <xf numFmtId="0" fontId="3" fillId="16" borderId="1" xfId="0" applyFont="1" applyFill="1" applyBorder="1"/>
    <xf numFmtId="0" fontId="3" fillId="15" borderId="1" xfId="0" applyFont="1" applyFill="1" applyBorder="1" applyAlignment="1">
      <alignment horizontal="center"/>
    </xf>
    <xf numFmtId="10" fontId="0" fillId="0" borderId="0" xfId="0" applyNumberFormat="1" applyAlignment="1">
      <alignment horizontal="left"/>
    </xf>
    <xf numFmtId="9" fontId="0" fillId="0" borderId="0" xfId="1" applyFont="1"/>
    <xf numFmtId="0" fontId="3" fillId="17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1" xfId="0" applyFont="1" applyBorder="1" applyAlignment="1"/>
    <xf numFmtId="0" fontId="9" fillId="19" borderId="0" xfId="0" applyNumberFormat="1" applyFont="1" applyFill="1" applyBorder="1" applyAlignment="1">
      <alignment vertical="center"/>
    </xf>
    <xf numFmtId="2" fontId="4" fillId="25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9" fillId="19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left"/>
    </xf>
    <xf numFmtId="14" fontId="3" fillId="15" borderId="1" xfId="0" applyNumberFormat="1" applyFont="1" applyFill="1" applyBorder="1" applyAlignment="1">
      <alignment horizontal="center"/>
    </xf>
    <xf numFmtId="14" fontId="3" fillId="1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6" fillId="0" borderId="1" xfId="2" applyFill="1" applyBorder="1" applyAlignment="1">
      <alignment horizontal="left" vertical="center"/>
    </xf>
    <xf numFmtId="0" fontId="6" fillId="0" borderId="1" xfId="2" applyBorder="1" applyAlignment="1">
      <alignment horizontal="left" vertical="center"/>
    </xf>
    <xf numFmtId="0" fontId="8" fillId="16" borderId="1" xfId="2" applyFont="1" applyFill="1" applyBorder="1" applyAlignment="1">
      <alignment horizontal="left" vertical="center"/>
    </xf>
    <xf numFmtId="0" fontId="8" fillId="0" borderId="1" xfId="2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1" xfId="2" applyFont="1" applyBorder="1" applyAlignment="1">
      <alignment vertical="center"/>
    </xf>
    <xf numFmtId="0" fontId="6" fillId="0" borderId="0" xfId="2" applyFill="1" applyAlignment="1">
      <alignment vertical="center"/>
    </xf>
    <xf numFmtId="0" fontId="8" fillId="0" borderId="0" xfId="2" applyFont="1" applyBorder="1" applyAlignment="1">
      <alignment vertical="center"/>
    </xf>
    <xf numFmtId="0" fontId="6" fillId="0" borderId="1" xfId="2" applyBorder="1" applyAlignment="1">
      <alignment vertical="center"/>
    </xf>
    <xf numFmtId="0" fontId="6" fillId="0" borderId="0" xfId="2" applyBorder="1" applyAlignment="1">
      <alignment vertical="center"/>
    </xf>
    <xf numFmtId="0" fontId="6" fillId="0" borderId="1" xfId="2" applyFill="1" applyBorder="1" applyAlignment="1">
      <alignment vertical="center"/>
    </xf>
    <xf numFmtId="0" fontId="8" fillId="0" borderId="1" xfId="2" applyFont="1" applyFill="1" applyBorder="1" applyAlignment="1">
      <alignment vertical="center"/>
    </xf>
    <xf numFmtId="1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vertical="center"/>
    </xf>
    <xf numFmtId="1" fontId="3" fillId="23" borderId="0" xfId="0" applyNumberFormat="1" applyFont="1" applyFill="1" applyAlignment="1">
      <alignment horizontal="center"/>
    </xf>
    <xf numFmtId="14" fontId="4" fillId="8" borderId="5" xfId="0" applyNumberFormat="1" applyFont="1" applyFill="1" applyBorder="1" applyAlignment="1">
      <alignment horizontal="center" vertical="center"/>
    </xf>
    <xf numFmtId="14" fontId="4" fillId="8" borderId="4" xfId="0" applyNumberFormat="1" applyFont="1" applyFill="1" applyBorder="1" applyAlignment="1">
      <alignment horizontal="center" vertical="center"/>
    </xf>
    <xf numFmtId="14" fontId="4" fillId="18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1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theme="1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 patternType="solid">
          <fgColor rgb="FFFF9900"/>
          <bgColor rgb="FF000000"/>
        </patternFill>
      </fill>
    </dxf>
    <dxf>
      <fill>
        <patternFill patternType="solid">
          <fgColor rgb="FF00339A"/>
          <bgColor rgb="FF000000"/>
        </patternFill>
      </fill>
    </dxf>
    <dxf>
      <fill>
        <patternFill patternType="solid">
          <fgColor rgb="FFFF1515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66FF33"/>
          <bgColor rgb="FF000000"/>
        </patternFill>
      </fill>
    </dxf>
  </dxfs>
  <tableStyles count="0" defaultTableStyle="TableStyleMedium2" defaultPivotStyle="PivotStyleLight16"/>
  <colors>
    <mruColors>
      <color rgb="FFFF0505"/>
      <color rgb="FF66FF33"/>
      <color rgb="FFFF2121"/>
      <color rgb="FFFF3F3F"/>
      <color rgb="FFFF0000"/>
      <color rgb="FFFF1515"/>
      <color rgb="FF00339A"/>
      <color rgb="FF0044CC"/>
      <color rgb="FF0038A8"/>
      <color rgb="FF0031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#TIRAS JULIO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('MONTAJE '!$B$1,'MONTAJE '!$C$1,'MONTAJE '!$D$1,'MONTAJE '!$E$1)</c:f>
              <c:strCache>
                <c:ptCount val="4"/>
                <c:pt idx="0">
                  <c:v>AMPARO </c:v>
                </c:pt>
                <c:pt idx="1">
                  <c:v>JESSICA</c:v>
                </c:pt>
                <c:pt idx="2">
                  <c:v>EVELYN</c:v>
                </c:pt>
                <c:pt idx="3">
                  <c:v>ALEXANDER</c:v>
                </c:pt>
              </c:strCache>
            </c:strRef>
          </c:cat>
          <c:val>
            <c:numRef>
              <c:f>('MONTAJE '!$B$58,'MONTAJE '!$C$58,'MONTAJE '!$D$58,'MONTAJE '!$E$58)</c:f>
              <c:numCache>
                <c:formatCode>General</c:formatCode>
                <c:ptCount val="4"/>
                <c:pt idx="0">
                  <c:v>119.6</c:v>
                </c:pt>
                <c:pt idx="1">
                  <c:v>108.1</c:v>
                </c:pt>
                <c:pt idx="2">
                  <c:v>64.5</c:v>
                </c:pt>
                <c:pt idx="3">
                  <c:v>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9-46F5-8C65-CE8160BCF4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654992"/>
        <c:axId val="470656240"/>
      </c:barChart>
      <c:catAx>
        <c:axId val="4706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0656240"/>
        <c:crosses val="autoZero"/>
        <c:auto val="1"/>
        <c:lblAlgn val="ctr"/>
        <c:lblOffset val="100"/>
        <c:noMultiLvlLbl val="0"/>
      </c:catAx>
      <c:valAx>
        <c:axId val="4706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065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CALIBRACIONES MES DE JULIO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27503845060768678"/>
          <c:y val="0.31276274967474077"/>
          <c:w val="0.3352159503151278"/>
          <c:h val="0.51787359605879524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83-4C7E-ACE6-B3D86EABCB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83-4C7E-ACE6-B3D86EABCB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83-4C7E-ACE6-B3D86EABCB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183-4C7E-ACE6-B3D86EABCB0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183-4C7E-ACE6-B3D86EABCB09}"/>
              </c:ext>
            </c:extLst>
          </c:dPt>
          <c:dPt>
            <c:idx val="5"/>
            <c:invertIfNegative val="0"/>
            <c:bubble3D val="0"/>
            <c:spPr>
              <a:solidFill>
                <a:srgbClr val="FF3F3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183-4C7E-ACE6-B3D86EABCB0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(CALIBRACIONES!$B$3,CALIBRACIONES!$B$4,CALIBRACIONES!$B$5,CALIBRACIONES!$B$6,CALIBRACIONES!$B$7,CALIBRACIONES!$B$8)</c:f>
              <c:strCache>
                <c:ptCount val="6"/>
                <c:pt idx="0">
                  <c:v>CARLOS</c:v>
                </c:pt>
                <c:pt idx="1">
                  <c:v>OSCAR</c:v>
                </c:pt>
                <c:pt idx="2">
                  <c:v>JOSE</c:v>
                </c:pt>
                <c:pt idx="3">
                  <c:v>CLAUDIO</c:v>
                </c:pt>
                <c:pt idx="4">
                  <c:v>JAVIER</c:v>
                </c:pt>
                <c:pt idx="5">
                  <c:v>JESSICA</c:v>
                </c:pt>
              </c:strCache>
            </c:strRef>
          </c:cat>
          <c:val>
            <c:numRef>
              <c:f>(CALIBRACIONES!$C$3,CALIBRACIONES!$C$4,CALIBRACIONES!$C$5,CALIBRACIONES!$C$6,CALIBRACIONES!$C$7,CALIBRACIONES!$C$8)</c:f>
              <c:numCache>
                <c:formatCode>General</c:formatCode>
                <c:ptCount val="6"/>
                <c:pt idx="0">
                  <c:v>8</c:v>
                </c:pt>
                <c:pt idx="1">
                  <c:v>13</c:v>
                </c:pt>
                <c:pt idx="2">
                  <c:v>10</c:v>
                </c:pt>
                <c:pt idx="3">
                  <c:v>7</c:v>
                </c:pt>
                <c:pt idx="4">
                  <c:v>12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7-4284-90A9-3C6A75FD3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04599360"/>
        <c:axId val="2004600448"/>
      </c:barChart>
      <c:catAx>
        <c:axId val="200459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04600448"/>
        <c:crosses val="autoZero"/>
        <c:auto val="1"/>
        <c:lblAlgn val="ctr"/>
        <c:lblOffset val="100"/>
        <c:noMultiLvlLbl val="0"/>
      </c:catAx>
      <c:valAx>
        <c:axId val="200460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0459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#TIRAS JULIO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('MONTAJE '!$B$1,'MONTAJE '!$C$1,'MONTAJE '!$D$1,'MONTAJE '!$E$1)</c:f>
              <c:strCache>
                <c:ptCount val="4"/>
                <c:pt idx="0">
                  <c:v>AMPARO </c:v>
                </c:pt>
                <c:pt idx="1">
                  <c:v>JESSICA</c:v>
                </c:pt>
                <c:pt idx="2">
                  <c:v>EVELYN</c:v>
                </c:pt>
                <c:pt idx="3">
                  <c:v>ALEXANDER</c:v>
                </c:pt>
              </c:strCache>
            </c:strRef>
          </c:cat>
          <c:val>
            <c:numRef>
              <c:f>('MONTAJE '!$B$58,'MONTAJE '!$C$58,'MONTAJE '!$D$58,'MONTAJE '!$E$58)</c:f>
              <c:numCache>
                <c:formatCode>General</c:formatCode>
                <c:ptCount val="4"/>
                <c:pt idx="0">
                  <c:v>119.6</c:v>
                </c:pt>
                <c:pt idx="1">
                  <c:v>108.1</c:v>
                </c:pt>
                <c:pt idx="2">
                  <c:v>64.5</c:v>
                </c:pt>
                <c:pt idx="3">
                  <c:v>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2-4713-82E1-9A9377A537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654992"/>
        <c:axId val="470656240"/>
      </c:barChart>
      <c:catAx>
        <c:axId val="4706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0656240"/>
        <c:crosses val="autoZero"/>
        <c:auto val="1"/>
        <c:lblAlgn val="ctr"/>
        <c:lblOffset val="100"/>
        <c:noMultiLvlLbl val="0"/>
      </c:catAx>
      <c:valAx>
        <c:axId val="4706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065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293370</xdr:colOff>
      <xdr:row>47</xdr:row>
      <xdr:rowOff>66675</xdr:rowOff>
    </xdr:from>
    <xdr:to>
      <xdr:col>13</xdr:col>
      <xdr:colOff>110490</xdr:colOff>
      <xdr:row>62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64F0CD-77F2-4D9D-8751-F4A62A77C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360045</xdr:colOff>
      <xdr:row>11</xdr:row>
      <xdr:rowOff>146685</xdr:rowOff>
    </xdr:from>
    <xdr:to>
      <xdr:col>4</xdr:col>
      <xdr:colOff>664845</xdr:colOff>
      <xdr:row>28</xdr:row>
      <xdr:rowOff>135255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1C10D7-7443-493A-BDEB-25B282F57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960120</xdr:colOff>
      <xdr:row>12</xdr:row>
      <xdr:rowOff>3810</xdr:rowOff>
    </xdr:from>
    <xdr:to>
      <xdr:col>8</xdr:col>
      <xdr:colOff>704850</xdr:colOff>
      <xdr:row>28</xdr:row>
      <xdr:rowOff>106680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78DF05-B777-4B8D-A714-725AAA765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CINTATEX/AppData/Roaming/Microsoft/TELARES%20Y%20JAQ/KY6.xlsx" TargetMode="External"/><Relationship Id="rId18" Type="http://schemas.openxmlformats.org/officeDocument/2006/relationships/hyperlink" Target="../../../CINTATEX/AppData/Roaming/Microsoft/TELARES%20Y%20JAQ/KY1%20-RACHELLL.xlsx" TargetMode="External"/><Relationship Id="rId26" Type="http://schemas.openxmlformats.org/officeDocument/2006/relationships/hyperlink" Target="../../../CINTATEX/AppData/Roaming/Microsoft/TELARES%20Y%20JAQ/JAQ11.xlsx" TargetMode="External"/><Relationship Id="rId39" Type="http://schemas.openxmlformats.org/officeDocument/2006/relationships/hyperlink" Target="..\TELARES%20Y%20JAQ\KY14.xlsx" TargetMode="External"/><Relationship Id="rId21" Type="http://schemas.openxmlformats.org/officeDocument/2006/relationships/hyperlink" Target="../../../CINTATEX/AppData/Roaming/Microsoft/TELARES%20Y%20JAQ/KY17.xlsx" TargetMode="External"/><Relationship Id="rId34" Type="http://schemas.openxmlformats.org/officeDocument/2006/relationships/hyperlink" Target="..\TELARES%20Y%20JAQ\KY5.xlsx" TargetMode="External"/><Relationship Id="rId42" Type="http://schemas.openxmlformats.org/officeDocument/2006/relationships/hyperlink" Target="..\TELARES%20Y%20JAQ\KY16.xlsx" TargetMode="External"/><Relationship Id="rId47" Type="http://schemas.openxmlformats.org/officeDocument/2006/relationships/hyperlink" Target="..\TELARES%20Y%20JAQ\JAQ8.xlsx" TargetMode="External"/><Relationship Id="rId50" Type="http://schemas.openxmlformats.org/officeDocument/2006/relationships/hyperlink" Target="..\TELARES%20Y%20JAQ\JAQ12.xlsx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../../../CINTATEX/AppData/Roaming/Microsoft/TELARES%20Y%20JAQ/KY17.xlsx" TargetMode="External"/><Relationship Id="rId2" Type="http://schemas.openxmlformats.org/officeDocument/2006/relationships/hyperlink" Target="../../../CINTATEX/AppData/Roaming/Microsoft/TELARES%20Y%20JAQ/JAQ7.xlsx" TargetMode="External"/><Relationship Id="rId16" Type="http://schemas.openxmlformats.org/officeDocument/2006/relationships/hyperlink" Target="../../../CINTATEX/AppData/Roaming/Microsoft/TELARES%20Y%20JAQ/JAQ13.xlsx" TargetMode="External"/><Relationship Id="rId29" Type="http://schemas.openxmlformats.org/officeDocument/2006/relationships/hyperlink" Target="../../../CINTATEX/AppData/Roaming/Microsoft/TELARES%20Y%20JAQ/KY17.xlsx" TargetMode="External"/><Relationship Id="rId11" Type="http://schemas.openxmlformats.org/officeDocument/2006/relationships/hyperlink" Target="../../../CINTATEX/AppData/Roaming/Microsoft/TELARES%20Y%20JAQ/JAQ5.xlsx" TargetMode="External"/><Relationship Id="rId24" Type="http://schemas.openxmlformats.org/officeDocument/2006/relationships/hyperlink" Target="../../../CINTATEX/AppData/Roaming/Microsoft/TELARES%20Y%20JAQ/JAQ7.xlsx" TargetMode="External"/><Relationship Id="rId32" Type="http://schemas.openxmlformats.org/officeDocument/2006/relationships/hyperlink" Target="..\TELARES%20Y%20JAQ\KY14.xlsx" TargetMode="External"/><Relationship Id="rId37" Type="http://schemas.openxmlformats.org/officeDocument/2006/relationships/hyperlink" Target="..\TELARES%20Y%20JAQ\KY12.xlsx" TargetMode="External"/><Relationship Id="rId40" Type="http://schemas.openxmlformats.org/officeDocument/2006/relationships/hyperlink" Target="..\TELARES%20Y%20JAQ\KY15.xlsx" TargetMode="External"/><Relationship Id="rId45" Type="http://schemas.openxmlformats.org/officeDocument/2006/relationships/hyperlink" Target="..\TELARES%20Y%20JAQ\KY10.xlsx" TargetMode="External"/><Relationship Id="rId53" Type="http://schemas.openxmlformats.org/officeDocument/2006/relationships/hyperlink" Target="..\TELARES%20Y%20JAQ\JAQ9.xlsx" TargetMode="External"/><Relationship Id="rId5" Type="http://schemas.openxmlformats.org/officeDocument/2006/relationships/hyperlink" Target="../../../CINTATEX/AppData/Roaming/Microsoft/TELARES%20Y%20JAQ/JAQ10.xlsx" TargetMode="External"/><Relationship Id="rId10" Type="http://schemas.openxmlformats.org/officeDocument/2006/relationships/hyperlink" Target="../../../CINTATEX/AppData/Roaming/Microsoft/TELARES%20Y%20JAQ/KY19.xlsx" TargetMode="External"/><Relationship Id="rId19" Type="http://schemas.openxmlformats.org/officeDocument/2006/relationships/hyperlink" Target="../../../CINTATEX/AppData/Roaming/Microsoft/TELARES%20Y%20JAQ/KY7.xlsx" TargetMode="External"/><Relationship Id="rId31" Type="http://schemas.openxmlformats.org/officeDocument/2006/relationships/hyperlink" Target="../../../CINTATEX/AppData/Roaming/Microsoft/TELARES%20Y%20JAQ/JAQ4.xlsx" TargetMode="External"/><Relationship Id="rId44" Type="http://schemas.openxmlformats.org/officeDocument/2006/relationships/hyperlink" Target="..\TELARES%20Y%20JAQ\KY2.xlsx" TargetMode="External"/><Relationship Id="rId52" Type="http://schemas.openxmlformats.org/officeDocument/2006/relationships/hyperlink" Target="..\TELARES%20Y%20JAQ\KY1%20-RACHELLL.xlsx" TargetMode="External"/><Relationship Id="rId4" Type="http://schemas.openxmlformats.org/officeDocument/2006/relationships/hyperlink" Target="../../../CINTATEX/AppData/Roaming/Microsoft/TELARES%20Y%20JAQ/KY6.xlsx" TargetMode="External"/><Relationship Id="rId9" Type="http://schemas.openxmlformats.org/officeDocument/2006/relationships/hyperlink" Target="../../../CINTATEX/AppData/Roaming/Microsoft/TELARES%20Y%20JAQ/JAQ10.xlsx" TargetMode="External"/><Relationship Id="rId14" Type="http://schemas.openxmlformats.org/officeDocument/2006/relationships/hyperlink" Target="../../../CINTATEX/AppData/Roaming/Microsoft/TELARES%20Y%20JAQ/KY11.xlsx" TargetMode="External"/><Relationship Id="rId22" Type="http://schemas.openxmlformats.org/officeDocument/2006/relationships/hyperlink" Target="../../../CINTATEX/AppData/Roaming/Microsoft/TELARES%20Y%20JAQ/JAQ10.xlsx" TargetMode="External"/><Relationship Id="rId27" Type="http://schemas.openxmlformats.org/officeDocument/2006/relationships/hyperlink" Target="../../../CINTATEX/AppData/Roaming/Microsoft/TELARES%20Y%20JAQ/KY16.xlsx" TargetMode="External"/><Relationship Id="rId30" Type="http://schemas.openxmlformats.org/officeDocument/2006/relationships/hyperlink" Target="../../../CINTATEX/AppData/Roaming/Microsoft/TELARES%20Y%20JAQ/JAQ10.xlsx" TargetMode="External"/><Relationship Id="rId35" Type="http://schemas.openxmlformats.org/officeDocument/2006/relationships/hyperlink" Target="..\TELARES%20Y%20JAQ\KY15.xlsx" TargetMode="External"/><Relationship Id="rId43" Type="http://schemas.openxmlformats.org/officeDocument/2006/relationships/hyperlink" Target="..\TELARES%20Y%20JAQ\JAQ17.xlsx" TargetMode="External"/><Relationship Id="rId48" Type="http://schemas.openxmlformats.org/officeDocument/2006/relationships/hyperlink" Target="..\TELARES%20Y%20JAQ\KY12.xlsx" TargetMode="External"/><Relationship Id="rId8" Type="http://schemas.openxmlformats.org/officeDocument/2006/relationships/hyperlink" Target="../../../CINTATEX/AppData/Roaming/Microsoft/TELARES%20Y%20JAQ/KY2.xlsx" TargetMode="External"/><Relationship Id="rId51" Type="http://schemas.openxmlformats.org/officeDocument/2006/relationships/hyperlink" Target="..\TELARES%20Y%20JAQ\JAQ2.xlsx" TargetMode="External"/><Relationship Id="rId3" Type="http://schemas.openxmlformats.org/officeDocument/2006/relationships/hyperlink" Target="../../../CINTATEX/AppData/Roaming/Microsoft/TELARES%20Y%20JAQ/KY7.xlsx" TargetMode="External"/><Relationship Id="rId12" Type="http://schemas.openxmlformats.org/officeDocument/2006/relationships/hyperlink" Target="../../../CINTATEX/AppData/Roaming/Microsoft/TELARES%20Y%20JAQ/JAQ6.xlsx" TargetMode="External"/><Relationship Id="rId17" Type="http://schemas.openxmlformats.org/officeDocument/2006/relationships/hyperlink" Target="../../../CINTATEX/AppData/Roaming/Microsoft/TELARES%20Y%20JAQ/JAQ11.xlsx" TargetMode="External"/><Relationship Id="rId25" Type="http://schemas.openxmlformats.org/officeDocument/2006/relationships/hyperlink" Target="../../../CINTATEX/AppData/Roaming/Microsoft/TELARES%20Y%20JAQ/KY6.xlsx" TargetMode="External"/><Relationship Id="rId33" Type="http://schemas.openxmlformats.org/officeDocument/2006/relationships/hyperlink" Target="..\TELARES%20Y%20JAQ\KY15.xlsx" TargetMode="External"/><Relationship Id="rId38" Type="http://schemas.openxmlformats.org/officeDocument/2006/relationships/hyperlink" Target="..\TELARES%20Y%20JAQ\KY5.xlsx" TargetMode="External"/><Relationship Id="rId46" Type="http://schemas.openxmlformats.org/officeDocument/2006/relationships/hyperlink" Target="..\TELARES%20Y%20JAQ\KY9.xlsx" TargetMode="External"/><Relationship Id="rId20" Type="http://schemas.openxmlformats.org/officeDocument/2006/relationships/hyperlink" Target="../../../CINTATEX/AppData/Roaming/Microsoft/TELARES%20Y%20JAQ/KY2.xlsx" TargetMode="External"/><Relationship Id="rId41" Type="http://schemas.openxmlformats.org/officeDocument/2006/relationships/hyperlink" Target="..\TELARES%20Y%20JAQ\KY16.xlsx" TargetMode="External"/><Relationship Id="rId54" Type="http://schemas.openxmlformats.org/officeDocument/2006/relationships/hyperlink" Target="..\TELARES%20Y%20JAQ\JAQ18.xlsx" TargetMode="External"/><Relationship Id="rId1" Type="http://schemas.openxmlformats.org/officeDocument/2006/relationships/hyperlink" Target="../../../CINTATEX/AppData/Roaming/Microsoft/TELARES%20Y%20JAQ/JAQ4.xlsx" TargetMode="External"/><Relationship Id="rId6" Type="http://schemas.openxmlformats.org/officeDocument/2006/relationships/hyperlink" Target="../../../CINTATEX/AppData/Roaming/Microsoft/TELARES%20Y%20JAQ/KY6.xlsx" TargetMode="External"/><Relationship Id="rId15" Type="http://schemas.openxmlformats.org/officeDocument/2006/relationships/hyperlink" Target="../../../CINTATEX/AppData/Roaming/Microsoft/TELARES%20Y%20JAQ/JAQ5.xlsx" TargetMode="External"/><Relationship Id="rId23" Type="http://schemas.openxmlformats.org/officeDocument/2006/relationships/hyperlink" Target="../../../CINTATEX/AppData/Roaming/Microsoft/TELARES%20Y%20JAQ/JAQ13.xlsx" TargetMode="External"/><Relationship Id="rId28" Type="http://schemas.openxmlformats.org/officeDocument/2006/relationships/hyperlink" Target="../../../CINTATEX/AppData/Roaming/Microsoft/TELARES%20Y%20JAQ/JAQ5.xlsx" TargetMode="External"/><Relationship Id="rId36" Type="http://schemas.openxmlformats.org/officeDocument/2006/relationships/hyperlink" Target="..\TELARES%20Y%20JAQ\KY5.xlsx" TargetMode="External"/><Relationship Id="rId49" Type="http://schemas.openxmlformats.org/officeDocument/2006/relationships/hyperlink" Target="..\TELARES%20Y%20JAQ\JAQ12.xlsx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../../../CINTATEX/AppData/Roaming/Microsoft/TELARES%20Y%20JAQ/KY6.xlsx" TargetMode="External"/><Relationship Id="rId18" Type="http://schemas.openxmlformats.org/officeDocument/2006/relationships/hyperlink" Target="../../../CINTATEX/AppData/Roaming/Microsoft/TELARES%20Y%20JAQ/KY1%20-RACHELLL.xlsx" TargetMode="External"/><Relationship Id="rId26" Type="http://schemas.openxmlformats.org/officeDocument/2006/relationships/hyperlink" Target="../../../CINTATEX/AppData/Roaming/Microsoft/TELARES%20Y%20JAQ/JAQ5.xlsx" TargetMode="External"/><Relationship Id="rId39" Type="http://schemas.openxmlformats.org/officeDocument/2006/relationships/hyperlink" Target="..\TELARES%20Y%20JAQ\KY12.xlsx" TargetMode="External"/><Relationship Id="rId21" Type="http://schemas.openxmlformats.org/officeDocument/2006/relationships/hyperlink" Target="../../../CINTATEX/AppData/Roaming/Microsoft/TELARES%20Y%20JAQ/JAQ10.xlsx" TargetMode="External"/><Relationship Id="rId34" Type="http://schemas.openxmlformats.org/officeDocument/2006/relationships/hyperlink" Target="..\TELARES%20Y%20JAQ\KY14.xlsx" TargetMode="External"/><Relationship Id="rId42" Type="http://schemas.openxmlformats.org/officeDocument/2006/relationships/hyperlink" Target="..\TELARES%20Y%20JAQ\JAQ2.xlsx" TargetMode="External"/><Relationship Id="rId47" Type="http://schemas.openxmlformats.org/officeDocument/2006/relationships/hyperlink" Target="../../../CINTATEX/AppData/Roaming/Microsoft/TELARES%20Y%20JAQ/KY16.xlsx" TargetMode="External"/><Relationship Id="rId50" Type="http://schemas.openxmlformats.org/officeDocument/2006/relationships/hyperlink" Target="..\TELARES%20Y%20JAQ\KY9.xlsx" TargetMode="External"/><Relationship Id="rId55" Type="http://schemas.openxmlformats.org/officeDocument/2006/relationships/hyperlink" Target="..\TELARES%20Y%20JAQ\JAQ9.xlsx" TargetMode="External"/><Relationship Id="rId7" Type="http://schemas.openxmlformats.org/officeDocument/2006/relationships/hyperlink" Target="../../../CINTATEX/AppData/Roaming/Microsoft/TELARES%20Y%20JAQ/KY6.xlsx" TargetMode="External"/><Relationship Id="rId2" Type="http://schemas.openxmlformats.org/officeDocument/2006/relationships/hyperlink" Target="../../../CINTATEX/AppData/Roaming/Microsoft/TELARES%20Y%20JAQ/JAQ7.xlsx" TargetMode="External"/><Relationship Id="rId16" Type="http://schemas.openxmlformats.org/officeDocument/2006/relationships/hyperlink" Target="../../../CINTATEX/AppData/Roaming/Microsoft/TELARES%20Y%20JAQ/JAQ13.xlsx" TargetMode="External"/><Relationship Id="rId29" Type="http://schemas.openxmlformats.org/officeDocument/2006/relationships/hyperlink" Target="..\TELARES%20Y%20JAQ\KY15.xlsx" TargetMode="External"/><Relationship Id="rId11" Type="http://schemas.openxmlformats.org/officeDocument/2006/relationships/hyperlink" Target="../../../CINTATEX/AppData/Roaming/Microsoft/TELARES%20Y%20JAQ/JAQ5.xlsx" TargetMode="External"/><Relationship Id="rId24" Type="http://schemas.openxmlformats.org/officeDocument/2006/relationships/hyperlink" Target="../../../CINTATEX/AppData/Roaming/Microsoft/TELARES%20Y%20JAQ/KY6.xlsx" TargetMode="External"/><Relationship Id="rId32" Type="http://schemas.openxmlformats.org/officeDocument/2006/relationships/hyperlink" Target="..\TELARES%20Y%20JAQ\KY5.xlsx" TargetMode="External"/><Relationship Id="rId37" Type="http://schemas.openxmlformats.org/officeDocument/2006/relationships/hyperlink" Target="..\TELARES%20Y%20JAQ\KY10.xlsx" TargetMode="External"/><Relationship Id="rId40" Type="http://schemas.openxmlformats.org/officeDocument/2006/relationships/hyperlink" Target="..\TELARES%20Y%20JAQ\JAQ12.xlsx" TargetMode="External"/><Relationship Id="rId45" Type="http://schemas.openxmlformats.org/officeDocument/2006/relationships/hyperlink" Target="../../../CINTATEX/AppData/Roaming/Microsoft/TELARES%20Y%20JAQ/KY19.xlsx" TargetMode="External"/><Relationship Id="rId53" Type="http://schemas.openxmlformats.org/officeDocument/2006/relationships/hyperlink" Target="..\TELARES%20Y%20JAQ\KY17.xlsx" TargetMode="External"/><Relationship Id="rId5" Type="http://schemas.openxmlformats.org/officeDocument/2006/relationships/hyperlink" Target="../../../CINTATEX/AppData/Roaming/Microsoft/TELARES%20Y%20JAQ/JAQ10.xlsx" TargetMode="External"/><Relationship Id="rId19" Type="http://schemas.openxmlformats.org/officeDocument/2006/relationships/hyperlink" Target="../../../CINTATEX/AppData/Roaming/Microsoft/TELARES%20Y%20JAQ/KY2.xlsx" TargetMode="External"/><Relationship Id="rId4" Type="http://schemas.openxmlformats.org/officeDocument/2006/relationships/hyperlink" Target="../../../CINTATEX/AppData/Roaming/Microsoft/TELARES%20Y%20JAQ/KY6.xlsx" TargetMode="External"/><Relationship Id="rId9" Type="http://schemas.openxmlformats.org/officeDocument/2006/relationships/hyperlink" Target="../../../CINTATEX/AppData/Roaming/Microsoft/TELARES%20Y%20JAQ/KY2.xlsx" TargetMode="External"/><Relationship Id="rId14" Type="http://schemas.openxmlformats.org/officeDocument/2006/relationships/hyperlink" Target="../../../CINTATEX/AppData/Roaming/Microsoft/TELARES%20Y%20JAQ/KY11.xlsx" TargetMode="External"/><Relationship Id="rId22" Type="http://schemas.openxmlformats.org/officeDocument/2006/relationships/hyperlink" Target="../../../CINTATEX/AppData/Roaming/Microsoft/TELARES%20Y%20JAQ/JAQ13.xlsx" TargetMode="External"/><Relationship Id="rId27" Type="http://schemas.openxmlformats.org/officeDocument/2006/relationships/hyperlink" Target="../../../CINTATEX/AppData/Roaming/Microsoft/TELARES%20Y%20JAQ/JAQ4.xlsx" TargetMode="External"/><Relationship Id="rId30" Type="http://schemas.openxmlformats.org/officeDocument/2006/relationships/hyperlink" Target="..\TELARES%20Y%20JAQ\KY5.xlsx" TargetMode="External"/><Relationship Id="rId35" Type="http://schemas.openxmlformats.org/officeDocument/2006/relationships/hyperlink" Target="..\TELARES%20Y%20JAQ\JAQ17.xlsx" TargetMode="External"/><Relationship Id="rId43" Type="http://schemas.openxmlformats.org/officeDocument/2006/relationships/hyperlink" Target="..\TELARES%20Y%20JAQ\KY1%20-RACHELLL.xlsx" TargetMode="External"/><Relationship Id="rId48" Type="http://schemas.openxmlformats.org/officeDocument/2006/relationships/hyperlink" Target="..\TELARES%20Y%20JAQ\KY16.xlsx" TargetMode="External"/><Relationship Id="rId56" Type="http://schemas.openxmlformats.org/officeDocument/2006/relationships/printerSettings" Target="../printerSettings/printerSettings2.bin"/><Relationship Id="rId8" Type="http://schemas.openxmlformats.org/officeDocument/2006/relationships/hyperlink" Target="../../../CINTATEX/AppData/Roaming/Microsoft/TELARES%20Y%20JAQ/KY17.xlsx" TargetMode="External"/><Relationship Id="rId51" Type="http://schemas.openxmlformats.org/officeDocument/2006/relationships/hyperlink" Target="..\TELARES%20Y%20JAQ\JAQ10.xlsx" TargetMode="External"/><Relationship Id="rId3" Type="http://schemas.openxmlformats.org/officeDocument/2006/relationships/hyperlink" Target="../../../CINTATEX/AppData/Roaming/Microsoft/TELARES%20Y%20JAQ/JAQ14.xlsx" TargetMode="External"/><Relationship Id="rId12" Type="http://schemas.openxmlformats.org/officeDocument/2006/relationships/hyperlink" Target="../../../CINTATEX/AppData/Roaming/Microsoft/TELARES%20Y%20JAQ/JAQ6.xlsx" TargetMode="External"/><Relationship Id="rId17" Type="http://schemas.openxmlformats.org/officeDocument/2006/relationships/hyperlink" Target="../../../CINTATEX/AppData/Roaming/Microsoft/TELARES%20Y%20JAQ/JAQ11.xlsx" TargetMode="External"/><Relationship Id="rId25" Type="http://schemas.openxmlformats.org/officeDocument/2006/relationships/hyperlink" Target="../../../CINTATEX/AppData/Roaming/Microsoft/TELARES%20Y%20JAQ/JAQ11.xlsx" TargetMode="External"/><Relationship Id="rId33" Type="http://schemas.openxmlformats.org/officeDocument/2006/relationships/hyperlink" Target="..\TELARES%20Y%20JAQ\KY5.xlsx" TargetMode="External"/><Relationship Id="rId38" Type="http://schemas.openxmlformats.org/officeDocument/2006/relationships/hyperlink" Target="..\TELARES%20Y%20JAQ\JAQ8.xlsx" TargetMode="External"/><Relationship Id="rId46" Type="http://schemas.openxmlformats.org/officeDocument/2006/relationships/hyperlink" Target="../../../CINTATEX/AppData/Roaming/Microsoft/TELARES%20Y%20JAQ/KY7.xlsx" TargetMode="External"/><Relationship Id="rId20" Type="http://schemas.openxmlformats.org/officeDocument/2006/relationships/hyperlink" Target="../../../CINTATEX/AppData/Roaming/Microsoft/TELARES%20Y%20JAQ/KY17.xlsx" TargetMode="External"/><Relationship Id="rId41" Type="http://schemas.openxmlformats.org/officeDocument/2006/relationships/hyperlink" Target="..\TELARES%20Y%20JAQ\JAQ12.xlsx" TargetMode="External"/><Relationship Id="rId54" Type="http://schemas.openxmlformats.org/officeDocument/2006/relationships/hyperlink" Target="..\TELARES%20Y%20JAQ\KY15.xlsx" TargetMode="External"/><Relationship Id="rId1" Type="http://schemas.openxmlformats.org/officeDocument/2006/relationships/hyperlink" Target="../../../CINTATEX/AppData/Roaming/Microsoft/TELARES%20Y%20JAQ/JAQ4.xlsx" TargetMode="External"/><Relationship Id="rId6" Type="http://schemas.openxmlformats.org/officeDocument/2006/relationships/hyperlink" Target="../../../CINTATEX/AppData/Roaming/Microsoft/TELARES%20Y%20JAQ/JAQ18.xlsx" TargetMode="External"/><Relationship Id="rId15" Type="http://schemas.openxmlformats.org/officeDocument/2006/relationships/hyperlink" Target="../../../CINTATEX/AppData/Roaming/Microsoft/TELARES%20Y%20JAQ/JAQ5.xlsx" TargetMode="External"/><Relationship Id="rId23" Type="http://schemas.openxmlformats.org/officeDocument/2006/relationships/hyperlink" Target="../../../CINTATEX/AppData/Roaming/Microsoft/TELARES%20Y%20JAQ/JAQ7.xlsx" TargetMode="External"/><Relationship Id="rId28" Type="http://schemas.openxmlformats.org/officeDocument/2006/relationships/hyperlink" Target="..\TELARES%20Y%20JAQ\KY14.xlsx" TargetMode="External"/><Relationship Id="rId36" Type="http://schemas.openxmlformats.org/officeDocument/2006/relationships/hyperlink" Target="..\TELARES%20Y%20JAQ\KY2.xlsx" TargetMode="External"/><Relationship Id="rId49" Type="http://schemas.openxmlformats.org/officeDocument/2006/relationships/hyperlink" Target="..\TELARES%20Y%20JAQ\KY16.xlsx" TargetMode="External"/><Relationship Id="rId57" Type="http://schemas.openxmlformats.org/officeDocument/2006/relationships/drawing" Target="../drawings/drawing1.xml"/><Relationship Id="rId10" Type="http://schemas.openxmlformats.org/officeDocument/2006/relationships/hyperlink" Target="../../../CINTATEX/AppData/Roaming/Microsoft/TELARES%20Y%20JAQ/JAQ10.xlsx" TargetMode="External"/><Relationship Id="rId31" Type="http://schemas.openxmlformats.org/officeDocument/2006/relationships/hyperlink" Target="..\TELARES%20Y%20JAQ\KY15.xlsx" TargetMode="External"/><Relationship Id="rId44" Type="http://schemas.openxmlformats.org/officeDocument/2006/relationships/hyperlink" Target="../../../CINTATEX/AppData/Roaming/Microsoft/TELARES%20Y%20JAQ/KY7.xlsx" TargetMode="External"/><Relationship Id="rId52" Type="http://schemas.openxmlformats.org/officeDocument/2006/relationships/hyperlink" Target="..\TELARES%20Y%20JAQ\KY12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G160"/>
  <sheetViews>
    <sheetView tabSelected="1" topLeftCell="A112" zoomScale="61" zoomScaleNormal="61" workbookViewId="0">
      <pane xSplit="1470" ySplit="900" topLeftCell="A22" activePane="bottomRight"/>
      <selection activeCell="E29" sqref="E29"/>
      <selection pane="topRight" activeCell="AH1" sqref="AH1:AO1048576"/>
      <selection pane="bottomLeft" activeCell="A55" sqref="A55"/>
      <selection pane="bottomRight" activeCell="AO22" sqref="AO22"/>
    </sheetView>
  </sheetViews>
  <sheetFormatPr baseColWidth="10" defaultColWidth="11" defaultRowHeight="13.2" x14ac:dyDescent="0.25"/>
  <cols>
    <col min="1" max="1" width="17.6640625" style="86" customWidth="1"/>
    <col min="2" max="2" width="47.5546875" style="1" customWidth="1"/>
    <col min="3" max="3" width="11" style="1" customWidth="1"/>
    <col min="4" max="4" width="13" style="1" customWidth="1"/>
    <col min="5" max="5" width="11" style="21" customWidth="1"/>
    <col min="6" max="6" width="11" style="24" customWidth="1"/>
    <col min="7" max="7" width="14.109375" style="24" customWidth="1"/>
    <col min="8" max="8" width="13.109375" style="25" customWidth="1"/>
    <col min="9" max="11" width="11" style="25" customWidth="1"/>
    <col min="12" max="13" width="11" style="28" customWidth="1"/>
    <col min="14" max="14" width="12.109375" style="131" customWidth="1"/>
    <col min="15" max="15" width="12" style="132" customWidth="1"/>
    <col min="16" max="16" width="11.6640625" style="132" customWidth="1"/>
    <col min="17" max="17" width="11.5546875" style="16" customWidth="1"/>
    <col min="18" max="18" width="11" style="35" customWidth="1"/>
    <col min="19" max="19" width="11" style="16" customWidth="1"/>
    <col min="20" max="20" width="11" style="35" customWidth="1"/>
    <col min="21" max="21" width="11" style="16" customWidth="1"/>
    <col min="22" max="22" width="11" style="1" customWidth="1"/>
    <col min="23" max="24" width="12.109375" style="16" customWidth="1"/>
    <col min="25" max="25" width="11" style="1" customWidth="1"/>
    <col min="26" max="26" width="15.21875" style="1" customWidth="1"/>
    <col min="27" max="27" width="15.6640625" style="21" customWidth="1"/>
    <col min="28" max="28" width="17.5546875" style="21" customWidth="1"/>
    <col min="29" max="29" width="11" style="25" customWidth="1"/>
    <col min="30" max="30" width="20.109375" style="1" customWidth="1"/>
    <col min="31" max="31" width="13.88671875" style="112" customWidth="1"/>
    <col min="32" max="32" width="14.44140625" style="110" customWidth="1"/>
    <col min="33" max="33" width="57.21875" style="105" customWidth="1"/>
    <col min="34" max="34" width="11" style="1"/>
    <col min="35" max="35" width="17" style="1" customWidth="1"/>
    <col min="36" max="43" width="11" style="1"/>
    <col min="44" max="54" width="0" style="1" hidden="1" customWidth="1"/>
    <col min="55" max="16384" width="11" style="1"/>
  </cols>
  <sheetData>
    <row r="1" spans="1:33" ht="23.55" customHeight="1" x14ac:dyDescent="0.25">
      <c r="Q1" s="134" t="s">
        <v>120</v>
      </c>
      <c r="R1" s="135"/>
      <c r="S1" s="136" t="s">
        <v>121</v>
      </c>
      <c r="T1" s="136"/>
      <c r="U1" s="137" t="s">
        <v>122</v>
      </c>
      <c r="V1" s="137"/>
      <c r="W1" s="138" t="s">
        <v>123</v>
      </c>
      <c r="X1" s="138"/>
      <c r="Y1" s="138"/>
    </row>
    <row r="2" spans="1:33" ht="50.4" x14ac:dyDescent="0.25">
      <c r="A2" s="53" t="s">
        <v>20</v>
      </c>
      <c r="B2" s="4" t="s">
        <v>0</v>
      </c>
      <c r="C2" s="5" t="s">
        <v>1</v>
      </c>
      <c r="D2" s="6" t="s">
        <v>2</v>
      </c>
      <c r="E2" s="58" t="s">
        <v>3</v>
      </c>
      <c r="F2" s="7" t="s">
        <v>4</v>
      </c>
      <c r="G2" s="8" t="s">
        <v>5</v>
      </c>
      <c r="H2" s="8" t="s">
        <v>18</v>
      </c>
      <c r="I2" s="8" t="s">
        <v>19</v>
      </c>
      <c r="J2" s="8" t="s">
        <v>6</v>
      </c>
      <c r="K2" s="8" t="s">
        <v>7</v>
      </c>
      <c r="L2" s="17" t="s">
        <v>8</v>
      </c>
      <c r="M2" s="27" t="s">
        <v>117</v>
      </c>
      <c r="N2" s="9" t="s">
        <v>9</v>
      </c>
      <c r="O2" s="9" t="s">
        <v>10</v>
      </c>
      <c r="P2" s="9" t="s">
        <v>11</v>
      </c>
      <c r="Q2" s="48" t="s">
        <v>118</v>
      </c>
      <c r="R2" s="49" t="s">
        <v>119</v>
      </c>
      <c r="S2" s="47" t="s">
        <v>12</v>
      </c>
      <c r="T2" s="90" t="s">
        <v>119</v>
      </c>
      <c r="U2" s="45" t="s">
        <v>115</v>
      </c>
      <c r="V2" s="46" t="s">
        <v>119</v>
      </c>
      <c r="W2" s="43" t="s">
        <v>114</v>
      </c>
      <c r="X2" s="43" t="s">
        <v>119</v>
      </c>
      <c r="Y2" s="44" t="s">
        <v>134</v>
      </c>
      <c r="Z2" s="51" t="s">
        <v>124</v>
      </c>
      <c r="AA2" s="52" t="s">
        <v>13</v>
      </c>
      <c r="AB2" s="29" t="s">
        <v>14</v>
      </c>
      <c r="AC2" s="10" t="s">
        <v>15</v>
      </c>
      <c r="AD2" s="11" t="s">
        <v>16</v>
      </c>
      <c r="AE2" s="79" t="s">
        <v>253</v>
      </c>
      <c r="AF2" s="108" t="s">
        <v>254</v>
      </c>
      <c r="AG2" s="2" t="s">
        <v>17</v>
      </c>
    </row>
    <row r="3" spans="1:33" ht="14.4" x14ac:dyDescent="0.3">
      <c r="A3" s="124" t="s">
        <v>24</v>
      </c>
      <c r="B3" s="3" t="s">
        <v>26</v>
      </c>
      <c r="C3" s="3" t="s">
        <v>27</v>
      </c>
      <c r="D3" s="3" t="s">
        <v>28</v>
      </c>
      <c r="E3" s="19" t="s">
        <v>38</v>
      </c>
      <c r="F3" s="15">
        <v>2760</v>
      </c>
      <c r="G3" s="15">
        <v>3420</v>
      </c>
      <c r="H3" s="2">
        <v>3312</v>
      </c>
      <c r="I3" s="2" t="s">
        <v>261</v>
      </c>
      <c r="J3" s="2">
        <v>376</v>
      </c>
      <c r="K3" s="2">
        <v>2.87</v>
      </c>
      <c r="L3" s="18">
        <f t="shared" ref="L3:L10" si="0">+J3/G3</f>
        <v>0.10994152046783626</v>
      </c>
      <c r="M3" s="26">
        <v>0.8</v>
      </c>
      <c r="N3" s="14">
        <v>46192</v>
      </c>
      <c r="O3" s="80">
        <v>46192</v>
      </c>
      <c r="P3" s="80">
        <v>46192</v>
      </c>
      <c r="Q3" s="36">
        <v>46199</v>
      </c>
      <c r="R3" s="40">
        <f t="shared" ref="R3:R49" si="1">IF(Q3="","",NETWORKDAYS(N3,Q3))</f>
        <v>6</v>
      </c>
      <c r="S3" s="38">
        <v>46211</v>
      </c>
      <c r="T3" s="91">
        <f t="shared" ref="T3:T49" si="2">IF(S3="","",NETWORKDAYS(Q3,S3))</f>
        <v>9</v>
      </c>
      <c r="U3" s="30">
        <v>46216</v>
      </c>
      <c r="V3" s="41">
        <f t="shared" ref="V3:V49" si="3">IF(U3="","",NETWORKDAYS(S3,U3))</f>
        <v>4</v>
      </c>
      <c r="W3" s="31">
        <v>46216</v>
      </c>
      <c r="X3" s="42">
        <f t="shared" ref="X3:X49" si="4">IF(W3="","",NETWORKDAYS(U3,W3))</f>
        <v>1</v>
      </c>
      <c r="Y3" s="42">
        <f t="shared" ref="Y3:Y49" si="5">IF(W3="","",NETWORKDAYS(N3,W3))</f>
        <v>17</v>
      </c>
      <c r="Z3" s="22" t="str">
        <f>IF(Y3="","",IF(Y3&lt;=20,"EFICIENTE","NO EFICIENTE"))</f>
        <v>EFICIENTE</v>
      </c>
      <c r="AA3" s="50" t="s">
        <v>51</v>
      </c>
      <c r="AB3" s="19" t="s">
        <v>168</v>
      </c>
      <c r="AC3" s="15">
        <v>18.36</v>
      </c>
      <c r="AD3" s="3" t="s">
        <v>55</v>
      </c>
      <c r="AE3" s="109">
        <f>(((F3)/((AC3*10*6)+(AC3*12*6))))</f>
        <v>1.1388393741334919</v>
      </c>
      <c r="AF3" s="109">
        <v>1.33</v>
      </c>
      <c r="AG3" s="106" t="s">
        <v>56</v>
      </c>
    </row>
    <row r="4" spans="1:33" ht="14.4" x14ac:dyDescent="0.3">
      <c r="A4" s="124" t="s">
        <v>45</v>
      </c>
      <c r="B4" s="3" t="s">
        <v>46</v>
      </c>
      <c r="C4" s="3" t="s">
        <v>47</v>
      </c>
      <c r="D4" s="3" t="s">
        <v>28</v>
      </c>
      <c r="E4" s="19" t="s">
        <v>38</v>
      </c>
      <c r="F4" s="15">
        <v>12000</v>
      </c>
      <c r="G4" s="15">
        <v>11740</v>
      </c>
      <c r="H4" s="2">
        <v>11700</v>
      </c>
      <c r="I4" s="2" t="s">
        <v>261</v>
      </c>
      <c r="J4" s="2">
        <v>87</v>
      </c>
      <c r="K4" s="2">
        <v>0.65</v>
      </c>
      <c r="L4" s="18">
        <f t="shared" si="0"/>
        <v>7.4105621805792164E-3</v>
      </c>
      <c r="M4" s="26">
        <v>0.82</v>
      </c>
      <c r="N4" s="14">
        <v>46192</v>
      </c>
      <c r="O4" s="80">
        <v>46192</v>
      </c>
      <c r="P4" s="80">
        <v>46192</v>
      </c>
      <c r="Q4" s="36">
        <v>46202</v>
      </c>
      <c r="R4" s="40">
        <f t="shared" si="1"/>
        <v>7</v>
      </c>
      <c r="S4" s="38">
        <v>46210</v>
      </c>
      <c r="T4" s="91">
        <f t="shared" si="2"/>
        <v>7</v>
      </c>
      <c r="U4" s="30">
        <v>46211</v>
      </c>
      <c r="V4" s="41">
        <f t="shared" si="3"/>
        <v>2</v>
      </c>
      <c r="W4" s="31">
        <v>46212</v>
      </c>
      <c r="X4" s="42">
        <f t="shared" si="4"/>
        <v>2</v>
      </c>
      <c r="Y4" s="42">
        <f t="shared" si="5"/>
        <v>15</v>
      </c>
      <c r="Z4" s="22" t="str">
        <f>IF(Y4="","",IF(Y4&lt;=20,"EFICIENTE","NO EFICIENTE"))</f>
        <v>EFICIENTE</v>
      </c>
      <c r="AA4" s="50" t="s">
        <v>51</v>
      </c>
      <c r="AB4" s="19" t="s">
        <v>48</v>
      </c>
      <c r="AC4" s="15">
        <v>64.92</v>
      </c>
      <c r="AD4" s="3"/>
      <c r="AE4" s="109">
        <f>(((F4)/((AC4*10*6)+(AC4*12*6))))</f>
        <v>1.400324875371086</v>
      </c>
      <c r="AF4" s="109">
        <v>1.54</v>
      </c>
      <c r="AG4" s="106"/>
    </row>
    <row r="5" spans="1:33" ht="14.4" x14ac:dyDescent="0.3">
      <c r="A5" s="125" t="s">
        <v>104</v>
      </c>
      <c r="B5" s="3" t="s">
        <v>105</v>
      </c>
      <c r="C5" s="3" t="s">
        <v>106</v>
      </c>
      <c r="D5" s="3" t="s">
        <v>28</v>
      </c>
      <c r="E5" s="19" t="s">
        <v>38</v>
      </c>
      <c r="F5" s="15">
        <v>6000</v>
      </c>
      <c r="G5" s="15">
        <v>6648</v>
      </c>
      <c r="H5" s="2">
        <v>6625</v>
      </c>
      <c r="I5" s="2" t="s">
        <v>261</v>
      </c>
      <c r="J5" s="2">
        <v>220</v>
      </c>
      <c r="K5" s="2">
        <v>4.62</v>
      </c>
      <c r="L5" s="18">
        <f t="shared" si="0"/>
        <v>3.3092659446450061E-2</v>
      </c>
      <c r="M5" s="26">
        <v>0.8</v>
      </c>
      <c r="N5" s="14">
        <v>46204</v>
      </c>
      <c r="O5" s="80">
        <v>46204</v>
      </c>
      <c r="P5" s="80">
        <v>46204</v>
      </c>
      <c r="Q5" s="36">
        <v>46206</v>
      </c>
      <c r="R5" s="40">
        <f t="shared" si="1"/>
        <v>3</v>
      </c>
      <c r="S5" s="38">
        <v>46216</v>
      </c>
      <c r="T5" s="91">
        <f t="shared" si="2"/>
        <v>7</v>
      </c>
      <c r="U5" s="30">
        <v>46217</v>
      </c>
      <c r="V5" s="41">
        <f t="shared" si="3"/>
        <v>2</v>
      </c>
      <c r="W5" s="31">
        <v>46218</v>
      </c>
      <c r="X5" s="42">
        <f t="shared" si="4"/>
        <v>2</v>
      </c>
      <c r="Y5" s="42">
        <f t="shared" si="5"/>
        <v>11</v>
      </c>
      <c r="Z5" s="22" t="str">
        <f>IF(Y5="","",IF(Y5&lt;=45,"EFICIENTE","NO EFICIENTE"))</f>
        <v>EFICIENTE</v>
      </c>
      <c r="AA5" s="50" t="s">
        <v>51</v>
      </c>
      <c r="AB5" s="19" t="s">
        <v>74</v>
      </c>
      <c r="AC5" s="2">
        <v>28.2</v>
      </c>
      <c r="AD5" s="3" t="s">
        <v>107</v>
      </c>
      <c r="AE5" s="109">
        <f>(((F5)/((AC5*10*4)+(AC5*12*4))))</f>
        <v>2.4177949709864603</v>
      </c>
      <c r="AF5" s="109">
        <v>3.04</v>
      </c>
      <c r="AG5" s="106"/>
    </row>
    <row r="6" spans="1:33" ht="14.4" x14ac:dyDescent="0.3">
      <c r="A6" s="124" t="s">
        <v>102</v>
      </c>
      <c r="B6" s="3" t="s">
        <v>116</v>
      </c>
      <c r="C6" s="3" t="s">
        <v>47</v>
      </c>
      <c r="D6" s="3" t="s">
        <v>28</v>
      </c>
      <c r="E6" s="19" t="s">
        <v>38</v>
      </c>
      <c r="F6" s="15">
        <v>6000</v>
      </c>
      <c r="G6" s="15">
        <v>4459</v>
      </c>
      <c r="H6" s="2">
        <v>4400</v>
      </c>
      <c r="I6" s="2">
        <v>85</v>
      </c>
      <c r="J6" s="2">
        <v>18</v>
      </c>
      <c r="K6" s="2">
        <v>0.13</v>
      </c>
      <c r="L6" s="18">
        <f t="shared" si="0"/>
        <v>4.0367795469836284E-3</v>
      </c>
      <c r="M6" s="26">
        <v>0.82</v>
      </c>
      <c r="N6" s="14">
        <v>46206</v>
      </c>
      <c r="O6" s="80">
        <v>46206</v>
      </c>
      <c r="P6" s="80">
        <v>46206</v>
      </c>
      <c r="Q6" s="36">
        <v>46211</v>
      </c>
      <c r="R6" s="40">
        <f t="shared" si="1"/>
        <v>4</v>
      </c>
      <c r="S6" s="38">
        <v>46213</v>
      </c>
      <c r="T6" s="91">
        <f t="shared" si="2"/>
        <v>3</v>
      </c>
      <c r="U6" s="30">
        <v>46217</v>
      </c>
      <c r="V6" s="41">
        <f t="shared" si="3"/>
        <v>3</v>
      </c>
      <c r="W6" s="31">
        <v>46219</v>
      </c>
      <c r="X6" s="42">
        <f t="shared" si="4"/>
        <v>3</v>
      </c>
      <c r="Y6" s="42">
        <f t="shared" si="5"/>
        <v>10</v>
      </c>
      <c r="Z6" s="22" t="str">
        <f t="shared" ref="Z6:Z19" si="6">IF(Y6="","",IF(Y6&lt;=20,"EFICIENTE","NO EFICIENTE"))</f>
        <v>EFICIENTE</v>
      </c>
      <c r="AA6" s="50" t="s">
        <v>51</v>
      </c>
      <c r="AB6" s="19" t="s">
        <v>48</v>
      </c>
      <c r="AC6" s="15">
        <v>64.8</v>
      </c>
      <c r="AD6" s="3" t="s">
        <v>98</v>
      </c>
      <c r="AE6" s="109">
        <f>(((F6)/((AC6*10*6)+(AC6*12*6))))</f>
        <v>0.70145903479236826</v>
      </c>
      <c r="AF6" s="109">
        <v>1.36</v>
      </c>
      <c r="AG6" s="106"/>
    </row>
    <row r="7" spans="1:33" ht="14.4" x14ac:dyDescent="0.3">
      <c r="A7" s="126" t="s">
        <v>99</v>
      </c>
      <c r="B7" s="3" t="s">
        <v>100</v>
      </c>
      <c r="C7" s="3" t="s">
        <v>101</v>
      </c>
      <c r="D7" s="3" t="s">
        <v>28</v>
      </c>
      <c r="E7" s="19" t="s">
        <v>53</v>
      </c>
      <c r="F7" s="15">
        <v>15000</v>
      </c>
      <c r="G7" s="15">
        <v>16428</v>
      </c>
      <c r="H7" s="2">
        <v>6800</v>
      </c>
      <c r="I7" s="2" t="s">
        <v>261</v>
      </c>
      <c r="J7" s="2">
        <v>168</v>
      </c>
      <c r="K7" s="2">
        <v>1.28</v>
      </c>
      <c r="L7" s="18">
        <f t="shared" si="0"/>
        <v>1.0226442658875092E-2</v>
      </c>
      <c r="M7" s="26">
        <v>0.8</v>
      </c>
      <c r="N7" s="14">
        <v>46197</v>
      </c>
      <c r="O7" s="80">
        <v>46197</v>
      </c>
      <c r="P7" s="80">
        <v>46197</v>
      </c>
      <c r="Q7" s="36">
        <v>46204</v>
      </c>
      <c r="R7" s="40">
        <f t="shared" si="1"/>
        <v>6</v>
      </c>
      <c r="S7" s="38">
        <v>46211</v>
      </c>
      <c r="T7" s="91">
        <f t="shared" si="2"/>
        <v>6</v>
      </c>
      <c r="U7" s="30">
        <v>46213</v>
      </c>
      <c r="V7" s="41">
        <f t="shared" si="3"/>
        <v>3</v>
      </c>
      <c r="W7" s="31">
        <v>46204</v>
      </c>
      <c r="X7" s="42">
        <f t="shared" si="4"/>
        <v>-8</v>
      </c>
      <c r="Y7" s="42">
        <f t="shared" si="5"/>
        <v>6</v>
      </c>
      <c r="Z7" s="22" t="str">
        <f t="shared" si="6"/>
        <v>EFICIENTE</v>
      </c>
      <c r="AA7" s="50" t="s">
        <v>51</v>
      </c>
      <c r="AB7" s="19" t="s">
        <v>103</v>
      </c>
      <c r="AC7" s="15">
        <v>76.92</v>
      </c>
      <c r="AD7" s="3" t="s">
        <v>92</v>
      </c>
      <c r="AE7" s="109">
        <f>(((F7)/((AC7*10*6)+(AC7*12*6))))</f>
        <v>1.477331820545549</v>
      </c>
      <c r="AF7" s="109">
        <v>1.71</v>
      </c>
      <c r="AG7" s="106"/>
    </row>
    <row r="8" spans="1:33" ht="14.4" x14ac:dyDescent="0.3">
      <c r="A8" s="127" t="s">
        <v>126</v>
      </c>
      <c r="B8" s="3" t="s">
        <v>127</v>
      </c>
      <c r="C8" s="3" t="s">
        <v>81</v>
      </c>
      <c r="D8" s="3" t="s">
        <v>28</v>
      </c>
      <c r="E8" s="59" t="s">
        <v>82</v>
      </c>
      <c r="F8" s="15">
        <v>4000</v>
      </c>
      <c r="G8" s="15">
        <v>3745</v>
      </c>
      <c r="H8" s="2">
        <v>3600</v>
      </c>
      <c r="I8" s="2">
        <v>73</v>
      </c>
      <c r="J8" s="2">
        <v>287</v>
      </c>
      <c r="K8" s="2">
        <v>4.55</v>
      </c>
      <c r="L8" s="18">
        <f t="shared" si="0"/>
        <v>7.6635514018691592E-2</v>
      </c>
      <c r="M8" s="26">
        <v>0.8</v>
      </c>
      <c r="N8" s="14">
        <v>46199</v>
      </c>
      <c r="O8" s="80">
        <v>46199</v>
      </c>
      <c r="P8" s="80">
        <v>46199</v>
      </c>
      <c r="Q8" s="36">
        <v>46212</v>
      </c>
      <c r="R8" s="40">
        <f t="shared" si="1"/>
        <v>10</v>
      </c>
      <c r="S8" s="38">
        <v>46217</v>
      </c>
      <c r="T8" s="91">
        <f t="shared" si="2"/>
        <v>4</v>
      </c>
      <c r="U8" s="30">
        <v>46219</v>
      </c>
      <c r="V8" s="41">
        <f t="shared" si="3"/>
        <v>3</v>
      </c>
      <c r="W8" s="31">
        <v>46224</v>
      </c>
      <c r="X8" s="42">
        <f t="shared" si="4"/>
        <v>4</v>
      </c>
      <c r="Y8" s="42">
        <f t="shared" si="5"/>
        <v>18</v>
      </c>
      <c r="Z8" s="22" t="str">
        <f t="shared" si="6"/>
        <v>EFICIENTE</v>
      </c>
      <c r="AA8" s="50" t="s">
        <v>51</v>
      </c>
      <c r="AB8" s="19" t="s">
        <v>128</v>
      </c>
      <c r="AC8" s="15">
        <v>48.96</v>
      </c>
      <c r="AD8" s="3" t="s">
        <v>129</v>
      </c>
      <c r="AE8" s="109">
        <f>(((F8)/((AC8*10*4)+(AC8*12*4))))</f>
        <v>0.92840166369578148</v>
      </c>
      <c r="AF8" s="109">
        <v>1.45</v>
      </c>
      <c r="AG8" s="106"/>
    </row>
    <row r="9" spans="1:33" ht="14.4" x14ac:dyDescent="0.3">
      <c r="A9" s="128" t="s">
        <v>83</v>
      </c>
      <c r="B9" s="3" t="s">
        <v>84</v>
      </c>
      <c r="C9" s="3" t="s">
        <v>85</v>
      </c>
      <c r="D9" s="3" t="s">
        <v>28</v>
      </c>
      <c r="E9" s="19" t="s">
        <v>73</v>
      </c>
      <c r="F9" s="15">
        <v>6600</v>
      </c>
      <c r="G9" s="15">
        <v>5284</v>
      </c>
      <c r="H9" s="2">
        <v>5450</v>
      </c>
      <c r="I9" s="2" t="s">
        <v>261</v>
      </c>
      <c r="J9" s="2">
        <v>1049</v>
      </c>
      <c r="K9" s="2">
        <v>4.72</v>
      </c>
      <c r="L9" s="18">
        <f t="shared" si="0"/>
        <v>0.19852384557153671</v>
      </c>
      <c r="M9" s="26">
        <v>0.81</v>
      </c>
      <c r="N9" s="14">
        <v>46198</v>
      </c>
      <c r="O9" s="80">
        <v>46203</v>
      </c>
      <c r="P9" s="80">
        <v>46203</v>
      </c>
      <c r="Q9" s="36">
        <v>46210</v>
      </c>
      <c r="R9" s="40">
        <f t="shared" si="1"/>
        <v>9</v>
      </c>
      <c r="S9" s="38">
        <v>46216</v>
      </c>
      <c r="T9" s="91">
        <f t="shared" si="2"/>
        <v>5</v>
      </c>
      <c r="U9" s="30">
        <v>46217</v>
      </c>
      <c r="V9" s="41">
        <f t="shared" si="3"/>
        <v>2</v>
      </c>
      <c r="W9" s="31">
        <v>46220</v>
      </c>
      <c r="X9" s="42">
        <f t="shared" si="4"/>
        <v>4</v>
      </c>
      <c r="Y9" s="42">
        <f t="shared" si="5"/>
        <v>17</v>
      </c>
      <c r="Z9" s="22" t="str">
        <f t="shared" si="6"/>
        <v>EFICIENTE</v>
      </c>
      <c r="AA9" s="50" t="s">
        <v>51</v>
      </c>
      <c r="AB9" s="19" t="s">
        <v>86</v>
      </c>
      <c r="AC9" s="15">
        <v>37.92</v>
      </c>
      <c r="AD9" s="3" t="s">
        <v>87</v>
      </c>
      <c r="AE9" s="109">
        <f>(((F9)/((AC9*10*6)+(AC9*12*6))))</f>
        <v>1.3185654008438816</v>
      </c>
      <c r="AF9" s="109">
        <v>0.95</v>
      </c>
      <c r="AG9" s="106"/>
    </row>
    <row r="10" spans="1:33" ht="14.4" x14ac:dyDescent="0.3">
      <c r="A10" s="127" t="s">
        <v>113</v>
      </c>
      <c r="B10" s="3" t="s">
        <v>112</v>
      </c>
      <c r="C10" s="3" t="s">
        <v>161</v>
      </c>
      <c r="D10" s="3" t="s">
        <v>31</v>
      </c>
      <c r="E10" s="19" t="s">
        <v>42</v>
      </c>
      <c r="F10" s="15">
        <v>10800</v>
      </c>
      <c r="G10" s="15">
        <v>11331</v>
      </c>
      <c r="H10" s="2">
        <v>9340</v>
      </c>
      <c r="I10" s="2" t="s">
        <v>261</v>
      </c>
      <c r="J10" s="2">
        <v>65</v>
      </c>
      <c r="K10" s="2">
        <v>1.55</v>
      </c>
      <c r="L10" s="18">
        <f t="shared" si="0"/>
        <v>5.7364751566498983E-3</v>
      </c>
      <c r="M10" s="26">
        <v>0.8</v>
      </c>
      <c r="N10" s="14">
        <v>46203</v>
      </c>
      <c r="O10" s="80">
        <v>46203</v>
      </c>
      <c r="P10" s="80">
        <v>46203</v>
      </c>
      <c r="Q10" s="36">
        <v>46211</v>
      </c>
      <c r="R10" s="40">
        <f t="shared" si="1"/>
        <v>7</v>
      </c>
      <c r="S10" s="38">
        <v>46223</v>
      </c>
      <c r="T10" s="91">
        <f t="shared" si="2"/>
        <v>9</v>
      </c>
      <c r="U10" s="30">
        <v>46225</v>
      </c>
      <c r="V10" s="41">
        <f t="shared" si="3"/>
        <v>3</v>
      </c>
      <c r="W10" s="31">
        <v>46225</v>
      </c>
      <c r="X10" s="42">
        <f t="shared" si="4"/>
        <v>1</v>
      </c>
      <c r="Y10" s="42">
        <f t="shared" si="5"/>
        <v>17</v>
      </c>
      <c r="Z10" s="22" t="str">
        <f t="shared" si="6"/>
        <v>EFICIENTE</v>
      </c>
      <c r="AA10" s="50" t="s">
        <v>51</v>
      </c>
      <c r="AB10" s="19" t="s">
        <v>172</v>
      </c>
      <c r="AC10" s="15">
        <v>30.24</v>
      </c>
      <c r="AD10" s="3" t="s">
        <v>162</v>
      </c>
      <c r="AE10" s="113">
        <f>(((F10)/((AC10*10*6)+(AC10*12*6))))</f>
        <v>2.7056277056277058</v>
      </c>
      <c r="AF10" s="109">
        <v>3.5</v>
      </c>
      <c r="AG10" s="106"/>
    </row>
    <row r="11" spans="1:33" ht="14.4" x14ac:dyDescent="0.3">
      <c r="A11" s="125" t="s">
        <v>163</v>
      </c>
      <c r="B11" s="3" t="s">
        <v>164</v>
      </c>
      <c r="C11" s="3" t="s">
        <v>81</v>
      </c>
      <c r="D11" s="3" t="s">
        <v>28</v>
      </c>
      <c r="E11" s="59" t="s">
        <v>82</v>
      </c>
      <c r="F11" s="15">
        <v>4000</v>
      </c>
      <c r="G11" s="15">
        <v>3734</v>
      </c>
      <c r="H11" s="2">
        <v>3150</v>
      </c>
      <c r="I11" s="2" t="s">
        <v>261</v>
      </c>
      <c r="J11" s="2"/>
      <c r="K11" s="2"/>
      <c r="L11" s="18"/>
      <c r="M11" s="26">
        <v>0.97</v>
      </c>
      <c r="N11" s="14">
        <v>46198</v>
      </c>
      <c r="O11" s="80">
        <v>46198</v>
      </c>
      <c r="P11" s="80">
        <v>46199</v>
      </c>
      <c r="Q11" s="36">
        <v>46211</v>
      </c>
      <c r="R11" s="40">
        <f t="shared" si="1"/>
        <v>10</v>
      </c>
      <c r="S11" s="38">
        <v>46224</v>
      </c>
      <c r="T11" s="91">
        <f t="shared" si="2"/>
        <v>10</v>
      </c>
      <c r="U11" s="30">
        <v>46225</v>
      </c>
      <c r="V11" s="41">
        <f t="shared" si="3"/>
        <v>2</v>
      </c>
      <c r="W11" s="31">
        <v>46225</v>
      </c>
      <c r="X11" s="42">
        <f t="shared" si="4"/>
        <v>1</v>
      </c>
      <c r="Y11" s="42">
        <f t="shared" si="5"/>
        <v>20</v>
      </c>
      <c r="Z11" s="22" t="str">
        <f t="shared" si="6"/>
        <v>EFICIENTE</v>
      </c>
      <c r="AA11" s="50" t="s">
        <v>176</v>
      </c>
      <c r="AB11" s="19" t="s">
        <v>167</v>
      </c>
      <c r="AC11" s="15">
        <v>48.96</v>
      </c>
      <c r="AD11" s="3" t="s">
        <v>175</v>
      </c>
      <c r="AE11" s="109">
        <f>(((F11)/((AC11*10*4)+(AC11*12*4))))</f>
        <v>0.92840166369578148</v>
      </c>
      <c r="AF11" s="109">
        <v>0.81</v>
      </c>
      <c r="AG11" s="106"/>
    </row>
    <row r="12" spans="1:33" ht="14.4" x14ac:dyDescent="0.3">
      <c r="A12" s="127" t="s">
        <v>169</v>
      </c>
      <c r="B12" s="3" t="s">
        <v>170</v>
      </c>
      <c r="C12" s="3" t="s">
        <v>101</v>
      </c>
      <c r="D12" s="3" t="s">
        <v>28</v>
      </c>
      <c r="E12" s="19" t="s">
        <v>53</v>
      </c>
      <c r="F12" s="15">
        <f>6000+3000</f>
        <v>9000</v>
      </c>
      <c r="G12" s="15">
        <v>8469</v>
      </c>
      <c r="H12" s="2">
        <v>8100</v>
      </c>
      <c r="I12" s="2" t="s">
        <v>261</v>
      </c>
      <c r="J12" s="2">
        <v>415</v>
      </c>
      <c r="K12" s="2">
        <v>1.62</v>
      </c>
      <c r="L12" s="18">
        <f t="shared" ref="L12:L49" si="7">+J12/G12</f>
        <v>4.9002243476207345E-2</v>
      </c>
      <c r="M12" s="26">
        <v>0.82</v>
      </c>
      <c r="N12" s="14">
        <v>46203</v>
      </c>
      <c r="O12" s="80">
        <v>46204</v>
      </c>
      <c r="P12" s="80">
        <v>46206</v>
      </c>
      <c r="Q12" s="36">
        <v>46218</v>
      </c>
      <c r="R12" s="40">
        <f t="shared" si="1"/>
        <v>12</v>
      </c>
      <c r="S12" s="38">
        <v>46225</v>
      </c>
      <c r="T12" s="91">
        <f t="shared" si="2"/>
        <v>6</v>
      </c>
      <c r="U12" s="30">
        <v>46226</v>
      </c>
      <c r="V12" s="41">
        <f t="shared" si="3"/>
        <v>2</v>
      </c>
      <c r="W12" s="31">
        <v>46226</v>
      </c>
      <c r="X12" s="42">
        <f t="shared" si="4"/>
        <v>1</v>
      </c>
      <c r="Y12" s="42">
        <f t="shared" si="5"/>
        <v>18</v>
      </c>
      <c r="Z12" s="22" t="str">
        <f t="shared" si="6"/>
        <v>EFICIENTE</v>
      </c>
      <c r="AA12" s="50" t="s">
        <v>51</v>
      </c>
      <c r="AB12" s="19" t="s">
        <v>78</v>
      </c>
      <c r="AC12" s="15">
        <v>81</v>
      </c>
      <c r="AD12" s="3" t="s">
        <v>171</v>
      </c>
      <c r="AE12" s="109">
        <f>(((F12)/((AC12*10*6)+(AC12*12*6))))</f>
        <v>0.84175084175084181</v>
      </c>
      <c r="AF12" s="109">
        <v>0.75</v>
      </c>
      <c r="AG12" s="106"/>
    </row>
    <row r="13" spans="1:33" ht="13.5" customHeight="1" x14ac:dyDescent="0.3">
      <c r="A13" s="129" t="s">
        <v>186</v>
      </c>
      <c r="B13" s="3" t="s">
        <v>187</v>
      </c>
      <c r="C13" s="3" t="s">
        <v>188</v>
      </c>
      <c r="D13" s="3" t="s">
        <v>28</v>
      </c>
      <c r="E13" s="59" t="s">
        <v>82</v>
      </c>
      <c r="F13" s="15">
        <v>6000</v>
      </c>
      <c r="G13" s="15">
        <v>5805</v>
      </c>
      <c r="H13" s="2">
        <v>5500</v>
      </c>
      <c r="I13" s="2" t="s">
        <v>261</v>
      </c>
      <c r="J13" s="2">
        <v>226</v>
      </c>
      <c r="K13" s="2">
        <v>1.1000000000000001</v>
      </c>
      <c r="L13" s="18">
        <f t="shared" si="7"/>
        <v>3.8931955211024979E-2</v>
      </c>
      <c r="M13" s="26">
        <v>0.9</v>
      </c>
      <c r="N13" s="14">
        <v>46206</v>
      </c>
      <c r="O13" s="80">
        <v>46206</v>
      </c>
      <c r="P13" s="80">
        <v>46206</v>
      </c>
      <c r="Q13" s="36">
        <v>46223</v>
      </c>
      <c r="R13" s="40">
        <f t="shared" si="1"/>
        <v>12</v>
      </c>
      <c r="S13" s="38">
        <v>46230</v>
      </c>
      <c r="T13" s="91">
        <f t="shared" si="2"/>
        <v>6</v>
      </c>
      <c r="U13" s="30">
        <v>46231</v>
      </c>
      <c r="V13" s="41">
        <f t="shared" si="3"/>
        <v>2</v>
      </c>
      <c r="W13" s="31">
        <v>46231</v>
      </c>
      <c r="X13" s="42">
        <f t="shared" si="4"/>
        <v>1</v>
      </c>
      <c r="Y13" s="42">
        <f t="shared" si="5"/>
        <v>18</v>
      </c>
      <c r="Z13" s="22" t="str">
        <f t="shared" si="6"/>
        <v>EFICIENTE</v>
      </c>
      <c r="AA13" s="50" t="s">
        <v>176</v>
      </c>
      <c r="AB13" s="19" t="s">
        <v>189</v>
      </c>
      <c r="AC13" s="15">
        <v>42.6</v>
      </c>
      <c r="AD13" s="3" t="s">
        <v>190</v>
      </c>
      <c r="AE13" s="109">
        <f>(((F13)/((AC13*10*6)+(AC13*12*6))))</f>
        <v>1.0670081092616301</v>
      </c>
      <c r="AF13" s="109">
        <v>1.1200000000000001</v>
      </c>
      <c r="AG13" s="106"/>
    </row>
    <row r="14" spans="1:33" ht="14.4" x14ac:dyDescent="0.3">
      <c r="A14" s="127" t="s">
        <v>197</v>
      </c>
      <c r="B14" s="3" t="s">
        <v>235</v>
      </c>
      <c r="C14" s="3" t="s">
        <v>198</v>
      </c>
      <c r="D14" s="3" t="s">
        <v>31</v>
      </c>
      <c r="E14" s="19" t="s">
        <v>73</v>
      </c>
      <c r="F14" s="15">
        <f>32400+16200</f>
        <v>48600</v>
      </c>
      <c r="G14" s="15">
        <v>43897</v>
      </c>
      <c r="H14" s="2" t="s">
        <v>261</v>
      </c>
      <c r="I14" s="15">
        <v>43647</v>
      </c>
      <c r="J14" s="2">
        <v>441</v>
      </c>
      <c r="K14" s="2">
        <v>3</v>
      </c>
      <c r="L14" s="18">
        <f t="shared" si="7"/>
        <v>1.004624461808324E-2</v>
      </c>
      <c r="M14" s="26">
        <v>0.97</v>
      </c>
      <c r="N14" s="14">
        <v>46174</v>
      </c>
      <c r="O14" s="80">
        <v>46174</v>
      </c>
      <c r="P14" s="80">
        <v>46178</v>
      </c>
      <c r="Q14" s="36">
        <v>46224</v>
      </c>
      <c r="R14" s="40">
        <f t="shared" si="1"/>
        <v>37</v>
      </c>
      <c r="S14" s="38">
        <v>46231</v>
      </c>
      <c r="T14" s="91">
        <f t="shared" si="2"/>
        <v>6</v>
      </c>
      <c r="U14" s="30">
        <v>46231</v>
      </c>
      <c r="V14" s="41">
        <f t="shared" si="3"/>
        <v>1</v>
      </c>
      <c r="W14" s="31">
        <v>46189</v>
      </c>
      <c r="X14" s="42">
        <f t="shared" si="4"/>
        <v>-31</v>
      </c>
      <c r="Y14" s="42">
        <f t="shared" si="5"/>
        <v>12</v>
      </c>
      <c r="Z14" s="22" t="str">
        <f t="shared" si="6"/>
        <v>EFICIENTE</v>
      </c>
      <c r="AA14" s="50" t="s">
        <v>51</v>
      </c>
      <c r="AB14" s="19" t="s">
        <v>199</v>
      </c>
      <c r="AC14" s="15">
        <v>81.239999999999995</v>
      </c>
      <c r="AD14" s="3" t="s">
        <v>146</v>
      </c>
      <c r="AE14" s="109">
        <f>(((F14)/((AC14*10*9)+(AC14*12*9))))</f>
        <v>3.021350879548812</v>
      </c>
      <c r="AF14" s="109">
        <v>3.29</v>
      </c>
      <c r="AG14" s="106" t="s">
        <v>223</v>
      </c>
    </row>
    <row r="15" spans="1:33" ht="14.4" x14ac:dyDescent="0.3">
      <c r="A15" s="127" t="s">
        <v>194</v>
      </c>
      <c r="B15" s="3" t="s">
        <v>32</v>
      </c>
      <c r="C15" s="3" t="s">
        <v>30</v>
      </c>
      <c r="D15" s="3" t="s">
        <v>31</v>
      </c>
      <c r="E15" s="19" t="s">
        <v>179</v>
      </c>
      <c r="F15" s="15">
        <v>4860</v>
      </c>
      <c r="G15" s="15">
        <v>4749</v>
      </c>
      <c r="H15" s="2" t="s">
        <v>261</v>
      </c>
      <c r="I15" s="93">
        <v>4349.666666666667</v>
      </c>
      <c r="J15" s="2">
        <v>61</v>
      </c>
      <c r="K15" s="2">
        <v>2.12</v>
      </c>
      <c r="L15" s="18">
        <f t="shared" si="7"/>
        <v>1.284480943356496E-2</v>
      </c>
      <c r="M15" s="26">
        <v>0.85</v>
      </c>
      <c r="N15" s="14">
        <v>46220</v>
      </c>
      <c r="O15" s="80">
        <v>46220</v>
      </c>
      <c r="P15" s="80">
        <v>46220</v>
      </c>
      <c r="Q15" s="36">
        <v>46226</v>
      </c>
      <c r="R15" s="40">
        <f t="shared" si="1"/>
        <v>5</v>
      </c>
      <c r="S15" s="38">
        <v>46231</v>
      </c>
      <c r="T15" s="91">
        <f t="shared" si="2"/>
        <v>4</v>
      </c>
      <c r="U15" s="30">
        <v>46233</v>
      </c>
      <c r="V15" s="41">
        <f t="shared" si="3"/>
        <v>3</v>
      </c>
      <c r="W15" s="31">
        <v>46233</v>
      </c>
      <c r="X15" s="42">
        <f t="shared" si="4"/>
        <v>1</v>
      </c>
      <c r="Y15" s="42">
        <f t="shared" si="5"/>
        <v>10</v>
      </c>
      <c r="Z15" s="22" t="str">
        <f t="shared" si="6"/>
        <v>EFICIENTE</v>
      </c>
      <c r="AA15" s="50" t="s">
        <v>51</v>
      </c>
      <c r="AB15" s="19" t="s">
        <v>195</v>
      </c>
      <c r="AC15" s="15">
        <v>17.28</v>
      </c>
      <c r="AD15" s="3" t="s">
        <v>196</v>
      </c>
      <c r="AE15" s="109">
        <f>(((F15)/((AC15*10*6)+(AC15*12*6))))</f>
        <v>2.1306818181818183</v>
      </c>
      <c r="AF15" s="109">
        <v>2.25</v>
      </c>
      <c r="AG15" s="106"/>
    </row>
    <row r="16" spans="1:33" ht="13.5" customHeight="1" x14ac:dyDescent="0.3">
      <c r="A16" s="127" t="s">
        <v>88</v>
      </c>
      <c r="B16" s="3" t="s">
        <v>90</v>
      </c>
      <c r="C16" s="3" t="s">
        <v>89</v>
      </c>
      <c r="D16" s="3" t="s">
        <v>23</v>
      </c>
      <c r="E16" s="19" t="s">
        <v>38</v>
      </c>
      <c r="F16" s="15">
        <v>8280</v>
      </c>
      <c r="G16" s="15">
        <v>8978</v>
      </c>
      <c r="H16" s="2">
        <v>7721</v>
      </c>
      <c r="I16" s="2" t="s">
        <v>261</v>
      </c>
      <c r="J16" s="2">
        <v>260</v>
      </c>
      <c r="K16" s="2">
        <v>2.5499999999999998</v>
      </c>
      <c r="L16" s="18">
        <f t="shared" si="7"/>
        <v>2.8959679215860994E-2</v>
      </c>
      <c r="M16" s="26">
        <v>0.94</v>
      </c>
      <c r="N16" s="14">
        <v>46197</v>
      </c>
      <c r="O16" s="80">
        <v>46199</v>
      </c>
      <c r="P16" s="80">
        <v>46199</v>
      </c>
      <c r="Q16" s="36">
        <v>46212</v>
      </c>
      <c r="R16" s="40">
        <f t="shared" si="1"/>
        <v>12</v>
      </c>
      <c r="S16" s="38">
        <v>46224</v>
      </c>
      <c r="T16" s="91">
        <f t="shared" si="2"/>
        <v>9</v>
      </c>
      <c r="U16" s="30">
        <v>46225</v>
      </c>
      <c r="V16" s="41">
        <f t="shared" si="3"/>
        <v>2</v>
      </c>
      <c r="W16" s="31">
        <v>46223</v>
      </c>
      <c r="X16" s="42">
        <f t="shared" si="4"/>
        <v>-3</v>
      </c>
      <c r="Y16" s="42">
        <f t="shared" si="5"/>
        <v>19</v>
      </c>
      <c r="Z16" s="22" t="str">
        <f t="shared" si="6"/>
        <v>EFICIENTE</v>
      </c>
      <c r="AA16" s="50" t="s">
        <v>51</v>
      </c>
      <c r="AB16" s="19" t="s">
        <v>91</v>
      </c>
      <c r="AC16" s="15">
        <v>19.440000000000001</v>
      </c>
      <c r="AD16" s="3" t="s">
        <v>255</v>
      </c>
      <c r="AE16" s="109">
        <f>(((F16)/((AC16*10*6)+(AC16*12*6))))</f>
        <v>3.226711560044893</v>
      </c>
      <c r="AF16" s="109">
        <v>5.83</v>
      </c>
      <c r="AG16" s="106"/>
    </row>
    <row r="17" spans="1:33" ht="13.5" customHeight="1" x14ac:dyDescent="0.3">
      <c r="A17" s="125" t="s">
        <v>246</v>
      </c>
      <c r="B17" s="3" t="s">
        <v>247</v>
      </c>
      <c r="C17" s="3" t="s">
        <v>155</v>
      </c>
      <c r="D17" s="3" t="s">
        <v>31</v>
      </c>
      <c r="E17" s="19" t="s">
        <v>42</v>
      </c>
      <c r="F17" s="15">
        <f>9000+5000</f>
        <v>14000</v>
      </c>
      <c r="G17" s="15">
        <v>12464</v>
      </c>
      <c r="H17" s="2">
        <v>10412</v>
      </c>
      <c r="I17" s="2" t="s">
        <v>261</v>
      </c>
      <c r="J17" s="2">
        <v>299</v>
      </c>
      <c r="K17" s="2">
        <v>2.34</v>
      </c>
      <c r="L17" s="18">
        <f t="shared" si="7"/>
        <v>2.3989088575096278E-2</v>
      </c>
      <c r="M17" s="26">
        <v>0.86</v>
      </c>
      <c r="N17" s="14">
        <v>46220</v>
      </c>
      <c r="O17" s="80">
        <v>46220</v>
      </c>
      <c r="P17" s="80">
        <v>46223</v>
      </c>
      <c r="Q17" s="36">
        <v>46230</v>
      </c>
      <c r="R17" s="40">
        <f t="shared" si="1"/>
        <v>7</v>
      </c>
      <c r="S17" s="38">
        <v>46237</v>
      </c>
      <c r="T17" s="91">
        <f t="shared" si="2"/>
        <v>6</v>
      </c>
      <c r="U17" s="30">
        <v>46238</v>
      </c>
      <c r="V17" s="41">
        <f t="shared" si="3"/>
        <v>2</v>
      </c>
      <c r="W17" s="31">
        <v>46238</v>
      </c>
      <c r="X17" s="42">
        <f t="shared" si="4"/>
        <v>1</v>
      </c>
      <c r="Y17" s="42">
        <f t="shared" si="5"/>
        <v>13</v>
      </c>
      <c r="Z17" s="22" t="str">
        <f t="shared" si="6"/>
        <v>EFICIENTE</v>
      </c>
      <c r="AA17" s="50" t="s">
        <v>51</v>
      </c>
      <c r="AB17" s="19" t="s">
        <v>248</v>
      </c>
      <c r="AC17" s="15">
        <v>16.68</v>
      </c>
      <c r="AD17" s="3" t="s">
        <v>171</v>
      </c>
      <c r="AE17" s="109">
        <f>(((F17)/((AC17*10*24)+(AC17*12*24))))</f>
        <v>1.5896373810042874</v>
      </c>
      <c r="AF17" s="109">
        <v>1.62</v>
      </c>
      <c r="AG17" s="106"/>
    </row>
    <row r="18" spans="1:33" ht="14.4" x14ac:dyDescent="0.3">
      <c r="A18" s="127" t="s">
        <v>243</v>
      </c>
      <c r="B18" s="3" t="s">
        <v>244</v>
      </c>
      <c r="C18" s="3" t="s">
        <v>245</v>
      </c>
      <c r="D18" s="3" t="s">
        <v>28</v>
      </c>
      <c r="E18" s="19" t="s">
        <v>179</v>
      </c>
      <c r="F18" s="15">
        <v>3000</v>
      </c>
      <c r="G18" s="15">
        <v>2866</v>
      </c>
      <c r="H18" s="2">
        <v>2700</v>
      </c>
      <c r="I18" s="2" t="s">
        <v>261</v>
      </c>
      <c r="J18" s="2">
        <v>136</v>
      </c>
      <c r="K18" s="2">
        <v>0.94</v>
      </c>
      <c r="L18" s="18">
        <f t="shared" si="7"/>
        <v>4.7452896022330777E-2</v>
      </c>
      <c r="M18" s="26">
        <v>0.95</v>
      </c>
      <c r="N18" s="14">
        <v>46216</v>
      </c>
      <c r="O18" s="80">
        <v>46216</v>
      </c>
      <c r="P18" s="80">
        <v>46224</v>
      </c>
      <c r="Q18" s="36">
        <v>46231</v>
      </c>
      <c r="R18" s="40">
        <f t="shared" si="1"/>
        <v>12</v>
      </c>
      <c r="S18" s="38">
        <v>46237</v>
      </c>
      <c r="T18" s="91">
        <f t="shared" si="2"/>
        <v>5</v>
      </c>
      <c r="U18" s="30">
        <v>46238</v>
      </c>
      <c r="V18" s="41">
        <f t="shared" si="3"/>
        <v>2</v>
      </c>
      <c r="W18" s="31">
        <v>46238</v>
      </c>
      <c r="X18" s="42">
        <f t="shared" si="4"/>
        <v>1</v>
      </c>
      <c r="Y18" s="42">
        <f t="shared" si="5"/>
        <v>17</v>
      </c>
      <c r="Z18" s="22" t="str">
        <f t="shared" si="6"/>
        <v>EFICIENTE</v>
      </c>
      <c r="AA18" s="50" t="s">
        <v>51</v>
      </c>
      <c r="AB18" s="19" t="s">
        <v>242</v>
      </c>
      <c r="AC18" s="15">
        <v>41.64</v>
      </c>
      <c r="AD18" s="3" t="s">
        <v>259</v>
      </c>
      <c r="AE18" s="109">
        <f>(((F18)/((AC18*10*4)+(AC36*12*4))))</f>
        <v>0.90869438790346047</v>
      </c>
      <c r="AF18" s="109">
        <v>0.89</v>
      </c>
      <c r="AG18" s="106"/>
    </row>
    <row r="19" spans="1:33" ht="13.5" customHeight="1" x14ac:dyDescent="0.3">
      <c r="A19" s="127" t="s">
        <v>270</v>
      </c>
      <c r="B19" s="3" t="s">
        <v>271</v>
      </c>
      <c r="C19" s="3" t="s">
        <v>132</v>
      </c>
      <c r="D19" s="3" t="s">
        <v>28</v>
      </c>
      <c r="E19" s="19" t="s">
        <v>42</v>
      </c>
      <c r="F19" s="15">
        <f>5000+1000</f>
        <v>6000</v>
      </c>
      <c r="G19" s="15">
        <v>6145</v>
      </c>
      <c r="H19" s="2">
        <v>5979</v>
      </c>
      <c r="I19" s="2" t="s">
        <v>261</v>
      </c>
      <c r="J19" s="2">
        <v>116</v>
      </c>
      <c r="K19" s="2">
        <v>1.45</v>
      </c>
      <c r="L19" s="18">
        <f t="shared" si="7"/>
        <v>1.8877135882831571E-2</v>
      </c>
      <c r="M19" s="26">
        <v>0.8</v>
      </c>
      <c r="N19" s="14">
        <v>46224</v>
      </c>
      <c r="O19" s="80">
        <v>46224</v>
      </c>
      <c r="P19" s="80">
        <v>46225</v>
      </c>
      <c r="Q19" s="36">
        <v>46233</v>
      </c>
      <c r="R19" s="40">
        <f t="shared" si="1"/>
        <v>8</v>
      </c>
      <c r="S19" s="38">
        <v>46238</v>
      </c>
      <c r="T19" s="91">
        <f t="shared" si="2"/>
        <v>4</v>
      </c>
      <c r="U19" s="30">
        <v>46240</v>
      </c>
      <c r="V19" s="41">
        <f t="shared" si="3"/>
        <v>3</v>
      </c>
      <c r="W19" s="31">
        <v>46240</v>
      </c>
      <c r="X19" s="42">
        <f t="shared" si="4"/>
        <v>1</v>
      </c>
      <c r="Y19" s="42">
        <f t="shared" si="5"/>
        <v>13</v>
      </c>
      <c r="Z19" s="22" t="str">
        <f t="shared" si="6"/>
        <v>EFICIENTE</v>
      </c>
      <c r="AA19" s="50" t="s">
        <v>176</v>
      </c>
      <c r="AB19" s="19" t="s">
        <v>66</v>
      </c>
      <c r="AC19" s="15">
        <v>84</v>
      </c>
      <c r="AD19" s="3" t="s">
        <v>171</v>
      </c>
      <c r="AE19" s="109">
        <f>(((F19)/((AC19*10*4)+(AC41*12*4))))</f>
        <v>1.1556952662721893</v>
      </c>
      <c r="AF19" s="109">
        <v>0.64</v>
      </c>
      <c r="AG19" s="106"/>
    </row>
    <row r="20" spans="1:33" ht="14.4" x14ac:dyDescent="0.3">
      <c r="A20" s="127" t="s">
        <v>71</v>
      </c>
      <c r="B20" s="3" t="s">
        <v>72</v>
      </c>
      <c r="C20" s="3" t="s">
        <v>81</v>
      </c>
      <c r="D20" s="3" t="s">
        <v>28</v>
      </c>
      <c r="E20" s="19" t="s">
        <v>73</v>
      </c>
      <c r="F20" s="15">
        <v>12000</v>
      </c>
      <c r="G20" s="15">
        <v>111111</v>
      </c>
      <c r="H20" s="2">
        <v>11950</v>
      </c>
      <c r="I20" s="2">
        <v>88</v>
      </c>
      <c r="J20" s="2">
        <v>734</v>
      </c>
      <c r="K20" s="2">
        <v>4.0199999999999996</v>
      </c>
      <c r="L20" s="18">
        <f t="shared" si="7"/>
        <v>6.6060066060066062E-3</v>
      </c>
      <c r="M20" s="26">
        <v>0.87</v>
      </c>
      <c r="N20" s="14">
        <v>46178</v>
      </c>
      <c r="O20" s="80">
        <v>46178</v>
      </c>
      <c r="P20" s="80">
        <v>46179</v>
      </c>
      <c r="Q20" s="36">
        <v>46199</v>
      </c>
      <c r="R20" s="40">
        <f t="shared" si="1"/>
        <v>16</v>
      </c>
      <c r="S20" s="38">
        <v>46211</v>
      </c>
      <c r="T20" s="91">
        <f t="shared" si="2"/>
        <v>9</v>
      </c>
      <c r="U20" s="30">
        <v>46211</v>
      </c>
      <c r="V20" s="41">
        <f t="shared" si="3"/>
        <v>1</v>
      </c>
      <c r="W20" s="31">
        <v>46216</v>
      </c>
      <c r="X20" s="42">
        <f t="shared" si="4"/>
        <v>4</v>
      </c>
      <c r="Y20" s="42">
        <f t="shared" si="5"/>
        <v>27</v>
      </c>
      <c r="Z20" s="22" t="str">
        <f>IF(Y20="","",IF(Y20&lt;=32,"EFICIENTE","NO EFICIENTE"))</f>
        <v>EFICIENTE</v>
      </c>
      <c r="AA20" s="50" t="s">
        <v>176</v>
      </c>
      <c r="AB20" s="19" t="s">
        <v>74</v>
      </c>
      <c r="AC20" s="2">
        <v>48.96</v>
      </c>
      <c r="AD20" s="3" t="s">
        <v>98</v>
      </c>
      <c r="AE20" s="109">
        <f>(((F20)/((AC20*10*6)+(AC20*12*6))))</f>
        <v>1.8568033273915625</v>
      </c>
      <c r="AF20" s="109">
        <v>1.62</v>
      </c>
      <c r="AG20" s="106" t="s">
        <v>230</v>
      </c>
    </row>
    <row r="21" spans="1:33" ht="14.4" x14ac:dyDescent="0.3">
      <c r="A21" s="125" t="s">
        <v>219</v>
      </c>
      <c r="B21" s="3" t="s">
        <v>220</v>
      </c>
      <c r="C21" s="3" t="s">
        <v>95</v>
      </c>
      <c r="D21" s="3" t="s">
        <v>28</v>
      </c>
      <c r="E21" s="19" t="s">
        <v>82</v>
      </c>
      <c r="F21" s="15">
        <v>6000</v>
      </c>
      <c r="G21" s="15">
        <v>6152</v>
      </c>
      <c r="H21" s="2">
        <v>5500</v>
      </c>
      <c r="I21" s="2" t="s">
        <v>261</v>
      </c>
      <c r="J21" s="2">
        <v>216</v>
      </c>
      <c r="K21" s="2">
        <v>915</v>
      </c>
      <c r="L21" s="18">
        <f t="shared" si="7"/>
        <v>3.5110533159947985E-2</v>
      </c>
      <c r="M21" s="26">
        <v>0.8</v>
      </c>
      <c r="N21" s="14">
        <v>46206</v>
      </c>
      <c r="O21" s="14">
        <v>46206</v>
      </c>
      <c r="P21" s="14">
        <v>46206</v>
      </c>
      <c r="Q21" s="36">
        <v>46227</v>
      </c>
      <c r="R21" s="40">
        <f t="shared" si="1"/>
        <v>16</v>
      </c>
      <c r="S21" s="38">
        <v>46237</v>
      </c>
      <c r="T21" s="91">
        <f t="shared" si="2"/>
        <v>7</v>
      </c>
      <c r="U21" s="30">
        <v>46238</v>
      </c>
      <c r="V21" s="41">
        <f t="shared" si="3"/>
        <v>2</v>
      </c>
      <c r="W21" s="31">
        <v>46238</v>
      </c>
      <c r="X21" s="42">
        <f t="shared" si="4"/>
        <v>1</v>
      </c>
      <c r="Y21" s="42">
        <f t="shared" si="5"/>
        <v>23</v>
      </c>
      <c r="Z21" s="22" t="str">
        <f>IF(Y21="","",IF(Y21&lt;=24,"EFICIENTE","NO EFICIENTE"))</f>
        <v>EFICIENTE</v>
      </c>
      <c r="AA21" s="50" t="s">
        <v>176</v>
      </c>
      <c r="AB21" s="19" t="s">
        <v>74</v>
      </c>
      <c r="AC21" s="25">
        <v>38.159999999999997</v>
      </c>
      <c r="AD21" s="3" t="s">
        <v>171</v>
      </c>
      <c r="AE21" s="109">
        <f>(((F21)/((AC21*10*4)+(AC39*12*4))))</f>
        <v>2.179218967921897</v>
      </c>
      <c r="AF21" s="109">
        <v>2.06</v>
      </c>
      <c r="AG21" s="106" t="s">
        <v>260</v>
      </c>
    </row>
    <row r="22" spans="1:33" ht="14.4" x14ac:dyDescent="0.3">
      <c r="A22" s="125" t="s">
        <v>57</v>
      </c>
      <c r="B22" s="3" t="s">
        <v>58</v>
      </c>
      <c r="C22" s="3" t="s">
        <v>59</v>
      </c>
      <c r="D22" s="3" t="s">
        <v>28</v>
      </c>
      <c r="E22" s="19" t="s">
        <v>53</v>
      </c>
      <c r="F22" s="15">
        <f>2500+2500</f>
        <v>5000</v>
      </c>
      <c r="G22" s="15">
        <v>6441</v>
      </c>
      <c r="H22" s="2">
        <v>5100</v>
      </c>
      <c r="I22" s="2" t="s">
        <v>261</v>
      </c>
      <c r="J22" s="2">
        <v>384</v>
      </c>
      <c r="K22" s="2">
        <v>9.36</v>
      </c>
      <c r="L22" s="18">
        <f t="shared" si="7"/>
        <v>5.961807172799255E-2</v>
      </c>
      <c r="M22" s="26">
        <v>0.81</v>
      </c>
      <c r="N22" s="14">
        <v>46177</v>
      </c>
      <c r="O22" s="80">
        <v>46177</v>
      </c>
      <c r="P22" s="80">
        <v>46178</v>
      </c>
      <c r="Q22" s="36">
        <v>46205</v>
      </c>
      <c r="R22" s="40">
        <f t="shared" si="1"/>
        <v>21</v>
      </c>
      <c r="S22" s="38">
        <v>46210</v>
      </c>
      <c r="T22" s="91">
        <f t="shared" si="2"/>
        <v>4</v>
      </c>
      <c r="U22" s="30">
        <v>46218</v>
      </c>
      <c r="V22" s="41">
        <f t="shared" si="3"/>
        <v>7</v>
      </c>
      <c r="W22" s="31">
        <v>46218</v>
      </c>
      <c r="X22" s="42">
        <f t="shared" si="4"/>
        <v>1</v>
      </c>
      <c r="Y22" s="42">
        <f t="shared" si="5"/>
        <v>30</v>
      </c>
      <c r="Z22" s="22" t="str">
        <f>IF(Y22="","",IF(Y22&lt;=32,"EFICIENTE","NO EFICIENTE"))</f>
        <v>EFICIENTE</v>
      </c>
      <c r="AA22" s="50" t="s">
        <v>51</v>
      </c>
      <c r="AB22" s="19" t="s">
        <v>96</v>
      </c>
      <c r="AC22" s="2">
        <v>45.48</v>
      </c>
      <c r="AD22" s="3" t="s">
        <v>60</v>
      </c>
      <c r="AE22" s="109">
        <f>(((F22)/((AC22*10*4)+(AC22*12*4))))</f>
        <v>1.2493003917806029</v>
      </c>
      <c r="AF22" s="109">
        <v>1.7</v>
      </c>
      <c r="AG22" s="106" t="s">
        <v>236</v>
      </c>
    </row>
    <row r="23" spans="1:33" ht="13.95" customHeight="1" x14ac:dyDescent="0.3">
      <c r="A23" s="127" t="s">
        <v>249</v>
      </c>
      <c r="B23" s="3" t="s">
        <v>241</v>
      </c>
      <c r="C23" s="3" t="s">
        <v>27</v>
      </c>
      <c r="D23" s="3" t="s">
        <v>23</v>
      </c>
      <c r="E23" s="19" t="s">
        <v>42</v>
      </c>
      <c r="F23" s="15">
        <f>1840+1840</f>
        <v>3680</v>
      </c>
      <c r="G23" s="15">
        <v>4269</v>
      </c>
      <c r="H23" s="2">
        <v>4002</v>
      </c>
      <c r="I23" s="2" t="s">
        <v>261</v>
      </c>
      <c r="J23" s="2">
        <v>352</v>
      </c>
      <c r="K23" s="2">
        <v>1.76</v>
      </c>
      <c r="L23" s="18">
        <f t="shared" si="7"/>
        <v>8.2454907472475983E-2</v>
      </c>
      <c r="M23" s="26">
        <v>1</v>
      </c>
      <c r="N23" s="14">
        <v>46224</v>
      </c>
      <c r="O23" s="80">
        <v>46224</v>
      </c>
      <c r="P23" s="80">
        <v>46225</v>
      </c>
      <c r="Q23" s="36">
        <v>46231</v>
      </c>
      <c r="R23" s="40">
        <f t="shared" si="1"/>
        <v>6</v>
      </c>
      <c r="S23" s="38">
        <v>46238</v>
      </c>
      <c r="T23" s="91">
        <f t="shared" si="2"/>
        <v>6</v>
      </c>
      <c r="U23" s="30">
        <v>46241</v>
      </c>
      <c r="V23" s="41">
        <f t="shared" si="3"/>
        <v>4</v>
      </c>
      <c r="W23" s="31">
        <v>46245</v>
      </c>
      <c r="X23" s="42">
        <f t="shared" si="4"/>
        <v>3</v>
      </c>
      <c r="Y23" s="42">
        <f t="shared" si="5"/>
        <v>16</v>
      </c>
      <c r="Z23" s="22" t="str">
        <f t="shared" ref="Z23:Z29" si="8">IF(Y23="","",IF(Y23&lt;=20,"EFICIENTE","NO EFICIENTE"))</f>
        <v>EFICIENTE</v>
      </c>
      <c r="AA23" s="50" t="s">
        <v>51</v>
      </c>
      <c r="AB23" s="19" t="s">
        <v>242</v>
      </c>
      <c r="AC23" s="15">
        <v>23.76</v>
      </c>
      <c r="AD23" s="3" t="s">
        <v>171</v>
      </c>
      <c r="AE23" s="109">
        <f>(((F23)/((AC23*10*11)+(AC18*12*11))))</f>
        <v>0.45375631313131309</v>
      </c>
      <c r="AF23" s="109">
        <f>29/24</f>
        <v>1.2083333333333333</v>
      </c>
      <c r="AG23" s="106"/>
    </row>
    <row r="24" spans="1:33" ht="14.4" x14ac:dyDescent="0.3">
      <c r="A24" s="124" t="s">
        <v>63</v>
      </c>
      <c r="B24" s="3" t="s">
        <v>64</v>
      </c>
      <c r="C24" s="3" t="s">
        <v>65</v>
      </c>
      <c r="D24" s="3" t="s">
        <v>28</v>
      </c>
      <c r="E24" s="19" t="s">
        <v>38</v>
      </c>
      <c r="F24" s="15">
        <v>6000</v>
      </c>
      <c r="G24" s="15">
        <v>5550</v>
      </c>
      <c r="H24" s="2">
        <v>5426</v>
      </c>
      <c r="I24" s="2" t="s">
        <v>261</v>
      </c>
      <c r="J24" s="2">
        <v>72</v>
      </c>
      <c r="K24" s="2" t="s">
        <v>158</v>
      </c>
      <c r="L24" s="18">
        <f t="shared" si="7"/>
        <v>1.2972972972972972E-2</v>
      </c>
      <c r="M24" s="26">
        <v>0.85</v>
      </c>
      <c r="N24" s="14">
        <v>46190</v>
      </c>
      <c r="O24" s="80">
        <v>46189</v>
      </c>
      <c r="P24" s="80">
        <v>46192</v>
      </c>
      <c r="Q24" s="36">
        <v>46209</v>
      </c>
      <c r="R24" s="40">
        <f t="shared" si="1"/>
        <v>14</v>
      </c>
      <c r="S24" s="38">
        <v>46211</v>
      </c>
      <c r="T24" s="91">
        <f t="shared" si="2"/>
        <v>3</v>
      </c>
      <c r="U24" s="30">
        <v>46219</v>
      </c>
      <c r="V24" s="41">
        <f t="shared" si="3"/>
        <v>7</v>
      </c>
      <c r="W24" s="31">
        <v>46217</v>
      </c>
      <c r="X24" s="42">
        <f t="shared" si="4"/>
        <v>-3</v>
      </c>
      <c r="Y24" s="42">
        <f t="shared" si="5"/>
        <v>20</v>
      </c>
      <c r="Z24" s="22" t="str">
        <f t="shared" si="8"/>
        <v>EFICIENTE</v>
      </c>
      <c r="AA24" s="50" t="s">
        <v>51</v>
      </c>
      <c r="AB24" s="19" t="s">
        <v>66</v>
      </c>
      <c r="AC24" s="15">
        <v>84</v>
      </c>
      <c r="AD24" s="3" t="s">
        <v>67</v>
      </c>
      <c r="AE24" s="109">
        <f>(((F24)/((AC24*10*6)+(AC24*12*6))))</f>
        <v>0.54112554112554112</v>
      </c>
      <c r="AF24" s="109">
        <v>0.5</v>
      </c>
      <c r="AG24" s="106" t="s">
        <v>232</v>
      </c>
    </row>
    <row r="25" spans="1:33" ht="13.5" customHeight="1" x14ac:dyDescent="0.3">
      <c r="A25" s="127" t="s">
        <v>75</v>
      </c>
      <c r="B25" s="3" t="s">
        <v>76</v>
      </c>
      <c r="C25" s="3" t="s">
        <v>77</v>
      </c>
      <c r="D25" s="3" t="s">
        <v>28</v>
      </c>
      <c r="E25" s="19" t="s">
        <v>38</v>
      </c>
      <c r="F25" s="15">
        <v>4000</v>
      </c>
      <c r="G25" s="15">
        <v>3664</v>
      </c>
      <c r="H25" s="2">
        <v>3300</v>
      </c>
      <c r="I25" s="2" t="s">
        <v>261</v>
      </c>
      <c r="J25" s="2">
        <v>203</v>
      </c>
      <c r="K25" s="2">
        <v>2.84</v>
      </c>
      <c r="L25" s="18">
        <f t="shared" si="7"/>
        <v>5.5403930131004364E-2</v>
      </c>
      <c r="M25" s="26">
        <v>0.81</v>
      </c>
      <c r="N25" s="14">
        <v>46198</v>
      </c>
      <c r="O25" s="80">
        <v>46195</v>
      </c>
      <c r="P25" s="80">
        <v>46199</v>
      </c>
      <c r="Q25" s="36">
        <v>46211</v>
      </c>
      <c r="R25" s="40">
        <f t="shared" si="1"/>
        <v>10</v>
      </c>
      <c r="S25" s="38">
        <v>46217</v>
      </c>
      <c r="T25" s="91">
        <f t="shared" si="2"/>
        <v>5</v>
      </c>
      <c r="U25" s="30">
        <v>46220</v>
      </c>
      <c r="V25" s="41">
        <f t="shared" si="3"/>
        <v>4</v>
      </c>
      <c r="W25" s="31">
        <v>46225</v>
      </c>
      <c r="X25" s="42">
        <f t="shared" si="4"/>
        <v>4</v>
      </c>
      <c r="Y25" s="42">
        <f t="shared" si="5"/>
        <v>20</v>
      </c>
      <c r="Z25" s="22" t="str">
        <f t="shared" si="8"/>
        <v>EFICIENTE</v>
      </c>
      <c r="AA25" s="50" t="s">
        <v>51</v>
      </c>
      <c r="AB25" s="19" t="s">
        <v>78</v>
      </c>
      <c r="AC25" s="15">
        <v>41.76</v>
      </c>
      <c r="AD25" s="3" t="s">
        <v>79</v>
      </c>
      <c r="AE25" s="109">
        <f>(((F25)/((AC25*10*4)+(AC25*12*4))))</f>
        <v>1.0884709160571229</v>
      </c>
      <c r="AF25" s="109">
        <v>1.1299999999999999</v>
      </c>
      <c r="AG25" s="106" t="s">
        <v>234</v>
      </c>
    </row>
    <row r="26" spans="1:33" ht="14.4" x14ac:dyDescent="0.3">
      <c r="A26" s="127" t="s">
        <v>149</v>
      </c>
      <c r="B26" s="3" t="s">
        <v>147</v>
      </c>
      <c r="C26" s="3" t="s">
        <v>47</v>
      </c>
      <c r="D26" s="3" t="s">
        <v>31</v>
      </c>
      <c r="E26" s="19" t="s">
        <v>38</v>
      </c>
      <c r="F26" s="15">
        <v>20500</v>
      </c>
      <c r="G26" s="15">
        <v>17228</v>
      </c>
      <c r="H26" s="2">
        <v>13000</v>
      </c>
      <c r="I26" s="2" t="s">
        <v>261</v>
      </c>
      <c r="J26" s="2">
        <v>279</v>
      </c>
      <c r="K26" s="2">
        <v>1.9</v>
      </c>
      <c r="L26" s="18">
        <f t="shared" si="7"/>
        <v>1.6194566983979568E-2</v>
      </c>
      <c r="M26" s="26">
        <v>0.95</v>
      </c>
      <c r="N26" s="14">
        <v>46198</v>
      </c>
      <c r="O26" s="80">
        <v>46192</v>
      </c>
      <c r="P26" s="80">
        <v>46192</v>
      </c>
      <c r="Q26" s="36">
        <v>46204</v>
      </c>
      <c r="R26" s="40">
        <f t="shared" si="1"/>
        <v>5</v>
      </c>
      <c r="S26" s="38">
        <v>46223</v>
      </c>
      <c r="T26" s="91">
        <f t="shared" si="2"/>
        <v>14</v>
      </c>
      <c r="U26" s="30">
        <v>46223</v>
      </c>
      <c r="V26" s="41">
        <f t="shared" si="3"/>
        <v>1</v>
      </c>
      <c r="W26" s="31">
        <v>46224</v>
      </c>
      <c r="X26" s="42">
        <f t="shared" si="4"/>
        <v>2</v>
      </c>
      <c r="Y26" s="42">
        <f t="shared" si="5"/>
        <v>19</v>
      </c>
      <c r="Z26" s="22" t="str">
        <f t="shared" si="8"/>
        <v>EFICIENTE</v>
      </c>
      <c r="AA26" s="50" t="s">
        <v>176</v>
      </c>
      <c r="AB26" s="19" t="s">
        <v>174</v>
      </c>
      <c r="AC26" s="15">
        <v>100.32</v>
      </c>
      <c r="AD26" s="3" t="s">
        <v>148</v>
      </c>
      <c r="AE26" s="109">
        <f>(((F26)/((AC26*10*4)+(AC26*12*4))))</f>
        <v>2.3221146875453096</v>
      </c>
      <c r="AF26" s="109">
        <v>2</v>
      </c>
      <c r="AG26" s="106"/>
    </row>
    <row r="27" spans="1:33" ht="14.4" x14ac:dyDescent="0.3">
      <c r="A27" s="127" t="s">
        <v>150</v>
      </c>
      <c r="B27" s="3" t="s">
        <v>143</v>
      </c>
      <c r="C27" s="3" t="s">
        <v>77</v>
      </c>
      <c r="D27" s="3" t="s">
        <v>28</v>
      </c>
      <c r="E27" s="19" t="s">
        <v>53</v>
      </c>
      <c r="F27" s="15">
        <v>4000</v>
      </c>
      <c r="G27" s="15">
        <v>4657</v>
      </c>
      <c r="H27" s="2">
        <v>4400</v>
      </c>
      <c r="I27" s="2">
        <v>216</v>
      </c>
      <c r="J27" s="2"/>
      <c r="K27" s="2"/>
      <c r="L27" s="18">
        <f t="shared" si="7"/>
        <v>0</v>
      </c>
      <c r="M27" s="26">
        <v>0.83</v>
      </c>
      <c r="N27" s="14">
        <v>46199</v>
      </c>
      <c r="O27" s="80">
        <v>46196</v>
      </c>
      <c r="P27" s="80">
        <v>46199</v>
      </c>
      <c r="Q27" s="36">
        <v>46219</v>
      </c>
      <c r="R27" s="40">
        <f t="shared" si="1"/>
        <v>15</v>
      </c>
      <c r="S27" s="38">
        <v>46224</v>
      </c>
      <c r="T27" s="91">
        <f t="shared" si="2"/>
        <v>4</v>
      </c>
      <c r="U27" s="30">
        <v>46226</v>
      </c>
      <c r="V27" s="41">
        <f t="shared" si="3"/>
        <v>3</v>
      </c>
      <c r="W27" s="31">
        <v>46226</v>
      </c>
      <c r="X27" s="42">
        <f t="shared" si="4"/>
        <v>1</v>
      </c>
      <c r="Y27" s="42">
        <f t="shared" si="5"/>
        <v>20</v>
      </c>
      <c r="Z27" s="22" t="str">
        <f t="shared" si="8"/>
        <v>EFICIENTE</v>
      </c>
      <c r="AA27" s="50" t="s">
        <v>51</v>
      </c>
      <c r="AB27" s="19" t="s">
        <v>144</v>
      </c>
      <c r="AC27" s="15">
        <v>40.92</v>
      </c>
      <c r="AD27" s="3" t="s">
        <v>171</v>
      </c>
      <c r="AE27" s="109">
        <f>(((F27)/((AC27*10*4)+(AC27*12*4))))</f>
        <v>1.1108148938060962</v>
      </c>
      <c r="AF27" s="109">
        <v>1.54</v>
      </c>
      <c r="AG27" s="106"/>
    </row>
    <row r="28" spans="1:33" ht="14.4" x14ac:dyDescent="0.3">
      <c r="A28" s="127" t="s">
        <v>142</v>
      </c>
      <c r="B28" s="3" t="s">
        <v>140</v>
      </c>
      <c r="C28" s="3" t="s">
        <v>141</v>
      </c>
      <c r="D28" s="3" t="s">
        <v>23</v>
      </c>
      <c r="E28" s="19" t="s">
        <v>73</v>
      </c>
      <c r="F28" s="15">
        <v>4000</v>
      </c>
      <c r="G28" s="15">
        <v>4390</v>
      </c>
      <c r="H28" s="2">
        <v>3750</v>
      </c>
      <c r="I28" s="2">
        <v>70</v>
      </c>
      <c r="J28" s="2">
        <v>958</v>
      </c>
      <c r="K28" s="2">
        <v>13.9</v>
      </c>
      <c r="L28" s="18">
        <f t="shared" si="7"/>
        <v>0.21822323462414578</v>
      </c>
      <c r="M28" s="26">
        <v>0.88</v>
      </c>
      <c r="N28" s="14">
        <v>46205</v>
      </c>
      <c r="O28" s="80">
        <v>46203</v>
      </c>
      <c r="P28" s="80">
        <v>46206</v>
      </c>
      <c r="Q28" s="36">
        <v>46216</v>
      </c>
      <c r="R28" s="40">
        <f t="shared" si="1"/>
        <v>8</v>
      </c>
      <c r="S28" s="38">
        <v>46230</v>
      </c>
      <c r="T28" s="91">
        <f t="shared" si="2"/>
        <v>11</v>
      </c>
      <c r="U28" s="30">
        <v>46230</v>
      </c>
      <c r="V28" s="41">
        <f t="shared" si="3"/>
        <v>1</v>
      </c>
      <c r="W28" s="31">
        <v>46232</v>
      </c>
      <c r="X28" s="42">
        <f t="shared" si="4"/>
        <v>3</v>
      </c>
      <c r="Y28" s="42">
        <f t="shared" si="5"/>
        <v>20</v>
      </c>
      <c r="Z28" s="22" t="str">
        <f t="shared" si="8"/>
        <v>EFICIENTE</v>
      </c>
      <c r="AA28" s="50" t="s">
        <v>51</v>
      </c>
      <c r="AB28" s="19" t="s">
        <v>145</v>
      </c>
      <c r="AC28" s="15">
        <v>19.920000000000002</v>
      </c>
      <c r="AD28" s="3" t="s">
        <v>146</v>
      </c>
      <c r="AE28" s="109">
        <f>(((F28)/((AC28*10*4)+(AC28*12*4))))</f>
        <v>2.2818546914932458</v>
      </c>
      <c r="AF28" s="109">
        <v>3.8</v>
      </c>
      <c r="AG28" s="106"/>
    </row>
    <row r="29" spans="1:33" ht="14.4" x14ac:dyDescent="0.3">
      <c r="A29" s="128" t="s">
        <v>178</v>
      </c>
      <c r="B29" s="3" t="s">
        <v>131</v>
      </c>
      <c r="C29" s="3" t="s">
        <v>132</v>
      </c>
      <c r="D29" s="3" t="s">
        <v>28</v>
      </c>
      <c r="E29" s="19" t="s">
        <v>179</v>
      </c>
      <c r="F29" s="15">
        <v>6000</v>
      </c>
      <c r="G29" s="15">
        <v>7450</v>
      </c>
      <c r="H29" s="2">
        <v>6981</v>
      </c>
      <c r="I29" s="2" t="s">
        <v>261</v>
      </c>
      <c r="J29" s="2">
        <v>200</v>
      </c>
      <c r="K29" s="2">
        <v>2.5</v>
      </c>
      <c r="L29" s="18">
        <f t="shared" si="7"/>
        <v>2.6845637583892617E-2</v>
      </c>
      <c r="M29" s="26">
        <v>0.84</v>
      </c>
      <c r="N29" s="14">
        <v>46206</v>
      </c>
      <c r="O29" s="80">
        <v>46204</v>
      </c>
      <c r="P29" s="80">
        <v>46206</v>
      </c>
      <c r="Q29" s="36">
        <v>46225</v>
      </c>
      <c r="R29" s="40">
        <f t="shared" si="1"/>
        <v>14</v>
      </c>
      <c r="S29" s="38">
        <v>46231</v>
      </c>
      <c r="T29" s="91">
        <f t="shared" si="2"/>
        <v>5</v>
      </c>
      <c r="U29" s="30">
        <v>46231</v>
      </c>
      <c r="V29" s="41">
        <f t="shared" si="3"/>
        <v>1</v>
      </c>
      <c r="W29" s="31">
        <v>46233</v>
      </c>
      <c r="X29" s="42">
        <f t="shared" si="4"/>
        <v>3</v>
      </c>
      <c r="Y29" s="42">
        <f t="shared" si="5"/>
        <v>20</v>
      </c>
      <c r="Z29" s="22" t="str">
        <f t="shared" si="8"/>
        <v>EFICIENTE</v>
      </c>
      <c r="AA29" s="50" t="s">
        <v>176</v>
      </c>
      <c r="AB29" s="19" t="s">
        <v>180</v>
      </c>
      <c r="AC29" s="15">
        <v>84</v>
      </c>
      <c r="AD29" s="3" t="s">
        <v>181</v>
      </c>
      <c r="AE29" s="109">
        <f>(((F29)/((AC29*10*6)+(AC29*12*6))))</f>
        <v>0.54112554112554112</v>
      </c>
      <c r="AF29" s="109">
        <v>1.04</v>
      </c>
      <c r="AG29" s="106" t="s">
        <v>239</v>
      </c>
    </row>
    <row r="30" spans="1:33" ht="14.4" x14ac:dyDescent="0.3">
      <c r="A30" s="125" t="s">
        <v>281</v>
      </c>
      <c r="B30" s="3" t="s">
        <v>58</v>
      </c>
      <c r="C30" s="3" t="s">
        <v>59</v>
      </c>
      <c r="D30" s="3" t="s">
        <v>28</v>
      </c>
      <c r="E30" s="19" t="s">
        <v>42</v>
      </c>
      <c r="F30" s="15">
        <v>6000</v>
      </c>
      <c r="G30" s="15">
        <v>6625</v>
      </c>
      <c r="H30" s="2">
        <v>6625</v>
      </c>
      <c r="I30" s="2" t="s">
        <v>261</v>
      </c>
      <c r="J30" s="2">
        <v>174</v>
      </c>
      <c r="K30" s="2">
        <v>4.26</v>
      </c>
      <c r="L30" s="18">
        <f t="shared" si="7"/>
        <v>2.6264150943396226E-2</v>
      </c>
      <c r="M30" s="26">
        <v>0.8</v>
      </c>
      <c r="N30" s="14">
        <v>46177</v>
      </c>
      <c r="O30" s="80">
        <v>46177</v>
      </c>
      <c r="P30" s="80">
        <v>46178</v>
      </c>
      <c r="Q30" s="36">
        <v>46206</v>
      </c>
      <c r="R30" s="40">
        <f t="shared" si="1"/>
        <v>22</v>
      </c>
      <c r="S30" s="38">
        <v>46225</v>
      </c>
      <c r="T30" s="91">
        <f t="shared" si="2"/>
        <v>14</v>
      </c>
      <c r="U30" s="30">
        <v>46225</v>
      </c>
      <c r="V30" s="41">
        <f t="shared" si="3"/>
        <v>1</v>
      </c>
      <c r="W30" s="31">
        <v>46225</v>
      </c>
      <c r="X30" s="42">
        <f t="shared" si="4"/>
        <v>1</v>
      </c>
      <c r="Y30" s="42">
        <f t="shared" si="5"/>
        <v>35</v>
      </c>
      <c r="Z30" s="22" t="str">
        <f>IF(Y30="","",IF(Y30&lt;=24,"EFICIENTE","NO EFICIENTE"))</f>
        <v>NO EFICIENTE</v>
      </c>
      <c r="AA30" s="50" t="s">
        <v>51</v>
      </c>
      <c r="AB30" s="19" t="s">
        <v>166</v>
      </c>
      <c r="AC30" s="2">
        <v>45.72</v>
      </c>
      <c r="AD30" s="3" t="s">
        <v>171</v>
      </c>
      <c r="AE30" s="109">
        <f>(((F30)/((AC30*10*4)+(AC30*12*4))))</f>
        <v>1.4912908613696017</v>
      </c>
      <c r="AF30" s="109">
        <v>1.875</v>
      </c>
      <c r="AG30" s="106"/>
    </row>
    <row r="31" spans="1:33" ht="14.4" x14ac:dyDescent="0.3">
      <c r="A31" s="125" t="s">
        <v>109</v>
      </c>
      <c r="B31" s="3" t="s">
        <v>165</v>
      </c>
      <c r="C31" s="3" t="s">
        <v>110</v>
      </c>
      <c r="D31" s="3" t="s">
        <v>28</v>
      </c>
      <c r="E31" s="19" t="s">
        <v>38</v>
      </c>
      <c r="F31" s="15">
        <v>6000</v>
      </c>
      <c r="G31" s="15">
        <v>5416</v>
      </c>
      <c r="H31" s="15">
        <v>5416</v>
      </c>
      <c r="I31" s="2" t="s">
        <v>261</v>
      </c>
      <c r="J31" s="2">
        <v>268</v>
      </c>
      <c r="K31" s="2">
        <v>8.89</v>
      </c>
      <c r="L31" s="18">
        <f t="shared" si="7"/>
        <v>4.9483013293943869E-2</v>
      </c>
      <c r="M31" s="26">
        <v>0.82</v>
      </c>
      <c r="N31" s="14">
        <v>46177</v>
      </c>
      <c r="O31" s="80">
        <v>46177</v>
      </c>
      <c r="P31" s="80">
        <v>46178</v>
      </c>
      <c r="Q31" s="36">
        <v>46217</v>
      </c>
      <c r="R31" s="40">
        <f t="shared" si="1"/>
        <v>29</v>
      </c>
      <c r="S31" s="38">
        <v>46231</v>
      </c>
      <c r="T31" s="91">
        <f t="shared" si="2"/>
        <v>11</v>
      </c>
      <c r="U31" s="30">
        <v>46232</v>
      </c>
      <c r="V31" s="41">
        <f t="shared" si="3"/>
        <v>2</v>
      </c>
      <c r="W31" s="31">
        <v>46232</v>
      </c>
      <c r="X31" s="42">
        <f t="shared" si="4"/>
        <v>1</v>
      </c>
      <c r="Y31" s="42">
        <f t="shared" si="5"/>
        <v>40</v>
      </c>
      <c r="Z31" s="22" t="str">
        <f>IF(Y31="","",IF(Y31&lt;=24,"EFICIENTE","NO EFICIENTE"))</f>
        <v>NO EFICIENTE</v>
      </c>
      <c r="AA31" s="50" t="s">
        <v>176</v>
      </c>
      <c r="AB31" s="19" t="s">
        <v>74</v>
      </c>
      <c r="AC31" s="2">
        <v>35.409999999999997</v>
      </c>
      <c r="AD31" s="3" t="s">
        <v>111</v>
      </c>
      <c r="AE31" s="109">
        <f>(((F31)/((AC31*10*4)+(AC31*12*4))))</f>
        <v>1.9254961361710867</v>
      </c>
      <c r="AF31" s="109">
        <v>2.31</v>
      </c>
      <c r="AG31" s="106" t="s">
        <v>237</v>
      </c>
    </row>
    <row r="32" spans="1:33" ht="13.5" customHeight="1" x14ac:dyDescent="0.3">
      <c r="A32" s="127" t="s">
        <v>130</v>
      </c>
      <c r="B32" s="3" t="s">
        <v>131</v>
      </c>
      <c r="C32" s="3" t="s">
        <v>132</v>
      </c>
      <c r="D32" s="3" t="s">
        <v>28</v>
      </c>
      <c r="E32" s="59" t="s">
        <v>82</v>
      </c>
      <c r="F32" s="15">
        <v>6000</v>
      </c>
      <c r="G32" s="15">
        <v>6681</v>
      </c>
      <c r="H32" s="2">
        <v>5721</v>
      </c>
      <c r="I32" s="2" t="s">
        <v>261</v>
      </c>
      <c r="J32" s="2">
        <v>228</v>
      </c>
      <c r="K32" s="2">
        <v>2.85</v>
      </c>
      <c r="L32" s="18">
        <f t="shared" si="7"/>
        <v>3.4126627750336778E-2</v>
      </c>
      <c r="M32" s="26">
        <v>0.8</v>
      </c>
      <c r="N32" s="14">
        <v>46189</v>
      </c>
      <c r="O32" s="80">
        <v>46189</v>
      </c>
      <c r="P32" s="80">
        <v>46192</v>
      </c>
      <c r="Q32" s="36">
        <v>46212</v>
      </c>
      <c r="R32" s="40">
        <f t="shared" si="1"/>
        <v>18</v>
      </c>
      <c r="S32" s="38">
        <v>46218</v>
      </c>
      <c r="T32" s="91">
        <f t="shared" si="2"/>
        <v>5</v>
      </c>
      <c r="U32" s="30">
        <v>46220</v>
      </c>
      <c r="V32" s="41">
        <f t="shared" si="3"/>
        <v>3</v>
      </c>
      <c r="W32" s="31">
        <v>46231</v>
      </c>
      <c r="X32" s="42">
        <f t="shared" si="4"/>
        <v>8</v>
      </c>
      <c r="Y32" s="42">
        <f t="shared" si="5"/>
        <v>31</v>
      </c>
      <c r="Z32" s="22" t="str">
        <f>IF(Y32="","",IF(Y32&lt;=20,"EFICIENTE","NO EFICIENTE"))</f>
        <v>NO EFICIENTE</v>
      </c>
      <c r="AA32" s="50" t="s">
        <v>176</v>
      </c>
      <c r="AB32" s="19" t="s">
        <v>66</v>
      </c>
      <c r="AC32" s="15">
        <v>84</v>
      </c>
      <c r="AD32" s="3" t="s">
        <v>133</v>
      </c>
      <c r="AE32" s="109">
        <f>(((F32)/((AC32*10*6)+(AC32*12*6))))</f>
        <v>0.54112554112554112</v>
      </c>
      <c r="AF32" s="109">
        <v>0.625</v>
      </c>
      <c r="AG32" s="106" t="s">
        <v>231</v>
      </c>
    </row>
    <row r="33" spans="1:33" ht="14.4" x14ac:dyDescent="0.3">
      <c r="A33" s="125" t="s">
        <v>93</v>
      </c>
      <c r="B33" s="3" t="s">
        <v>94</v>
      </c>
      <c r="C33" s="3" t="s">
        <v>95</v>
      </c>
      <c r="D33" s="3" t="s">
        <v>28</v>
      </c>
      <c r="E33" s="19" t="s">
        <v>42</v>
      </c>
      <c r="F33" s="15">
        <v>8000</v>
      </c>
      <c r="G33" s="15">
        <v>8439</v>
      </c>
      <c r="H33" s="2">
        <v>7575</v>
      </c>
      <c r="I33" s="2" t="s">
        <v>261</v>
      </c>
      <c r="J33" s="2">
        <v>525</v>
      </c>
      <c r="K33" s="2">
        <v>16.28</v>
      </c>
      <c r="L33" s="18">
        <f t="shared" si="7"/>
        <v>6.2211162460007109E-2</v>
      </c>
      <c r="M33" s="26">
        <v>0.8</v>
      </c>
      <c r="N33" s="14">
        <v>46177</v>
      </c>
      <c r="O33" s="80">
        <v>46177</v>
      </c>
      <c r="P33" s="80">
        <v>46178</v>
      </c>
      <c r="Q33" s="36">
        <v>46203</v>
      </c>
      <c r="R33" s="40">
        <f t="shared" si="1"/>
        <v>19</v>
      </c>
      <c r="S33" s="38">
        <v>46218</v>
      </c>
      <c r="T33" s="91">
        <f t="shared" si="2"/>
        <v>12</v>
      </c>
      <c r="U33" s="30">
        <v>46220</v>
      </c>
      <c r="V33" s="41">
        <f t="shared" si="3"/>
        <v>3</v>
      </c>
      <c r="W33" s="31">
        <v>46225</v>
      </c>
      <c r="X33" s="42">
        <f t="shared" si="4"/>
        <v>4</v>
      </c>
      <c r="Y33" s="42">
        <f t="shared" si="5"/>
        <v>35</v>
      </c>
      <c r="Z33" s="22" t="str">
        <f>IF(Y33="","",IF(Y33&lt;=20,"EFICIENTE","NO EFICIENTE"))</f>
        <v>NO EFICIENTE</v>
      </c>
      <c r="AA33" s="50" t="s">
        <v>176</v>
      </c>
      <c r="AB33" s="19" t="s">
        <v>125</v>
      </c>
      <c r="AC33" s="2">
        <v>37.56</v>
      </c>
      <c r="AD33" s="3" t="s">
        <v>97</v>
      </c>
      <c r="AE33" s="109">
        <f>(((F33)/((AC33*10*4)+(AC33*12*4))))</f>
        <v>2.4203698325104073</v>
      </c>
      <c r="AF33" s="109">
        <v>2.75</v>
      </c>
      <c r="AG33" s="106" t="s">
        <v>233</v>
      </c>
    </row>
    <row r="34" spans="1:33" ht="14.4" x14ac:dyDescent="0.3">
      <c r="A34" s="124" t="s">
        <v>29</v>
      </c>
      <c r="B34" s="3" t="s">
        <v>32</v>
      </c>
      <c r="C34" s="3" t="s">
        <v>30</v>
      </c>
      <c r="D34" s="3" t="s">
        <v>31</v>
      </c>
      <c r="E34" s="19" t="s">
        <v>42</v>
      </c>
      <c r="F34" s="15">
        <v>3600</v>
      </c>
      <c r="G34" s="15">
        <v>3525</v>
      </c>
      <c r="H34" s="34">
        <v>1170</v>
      </c>
      <c r="I34" s="2">
        <v>2430</v>
      </c>
      <c r="J34" s="2">
        <v>3</v>
      </c>
      <c r="K34" s="2">
        <v>0.1</v>
      </c>
      <c r="L34" s="18">
        <f t="shared" si="7"/>
        <v>8.5106382978723403E-4</v>
      </c>
      <c r="M34" s="26">
        <v>0.84</v>
      </c>
      <c r="N34" s="14">
        <v>46154</v>
      </c>
      <c r="O34" s="80">
        <v>46155</v>
      </c>
      <c r="P34" s="80">
        <v>46157</v>
      </c>
      <c r="Q34" s="36">
        <v>46192</v>
      </c>
      <c r="R34" s="40">
        <f t="shared" si="1"/>
        <v>29</v>
      </c>
      <c r="S34" s="38">
        <v>46210</v>
      </c>
      <c r="T34" s="91">
        <f t="shared" si="2"/>
        <v>13</v>
      </c>
      <c r="U34" s="30">
        <v>46237</v>
      </c>
      <c r="V34" s="41">
        <f t="shared" si="3"/>
        <v>20</v>
      </c>
      <c r="W34" s="31">
        <v>46196</v>
      </c>
      <c r="X34" s="42">
        <f t="shared" si="4"/>
        <v>-30</v>
      </c>
      <c r="Y34" s="42">
        <f t="shared" si="5"/>
        <v>31</v>
      </c>
      <c r="Z34" s="22" t="str">
        <f>IF(Y34="","",IF(Y34&lt;=20,"EFICIENTE","NO EFICIENTE"))</f>
        <v>NO EFICIENTE</v>
      </c>
      <c r="AA34" s="50" t="s">
        <v>51</v>
      </c>
      <c r="AB34" s="19" t="s">
        <v>33</v>
      </c>
      <c r="AC34" s="15">
        <v>16.8</v>
      </c>
      <c r="AD34" s="3" t="s">
        <v>61</v>
      </c>
      <c r="AE34" s="109">
        <f>(((F34)/((AC34*10*6+(AC34*12*6)))))</f>
        <v>1.6233766233766231</v>
      </c>
      <c r="AF34" s="109">
        <v>1.04</v>
      </c>
      <c r="AG34" s="106" t="s">
        <v>80</v>
      </c>
    </row>
    <row r="35" spans="1:33" ht="14.4" x14ac:dyDescent="0.3">
      <c r="A35" s="125" t="s">
        <v>282</v>
      </c>
      <c r="B35" s="3" t="s">
        <v>58</v>
      </c>
      <c r="C35" s="3" t="s">
        <v>59</v>
      </c>
      <c r="D35" s="3" t="s">
        <v>28</v>
      </c>
      <c r="E35" s="19" t="s">
        <v>73</v>
      </c>
      <c r="F35" s="15">
        <v>6000</v>
      </c>
      <c r="G35" s="15">
        <v>7154</v>
      </c>
      <c r="H35" s="2">
        <v>6825</v>
      </c>
      <c r="I35" s="2" t="s">
        <v>261</v>
      </c>
      <c r="J35" s="2">
        <v>226</v>
      </c>
      <c r="K35" s="2">
        <v>543</v>
      </c>
      <c r="L35" s="18">
        <f t="shared" si="7"/>
        <v>3.159071847917249E-2</v>
      </c>
      <c r="M35" s="26">
        <v>0.81</v>
      </c>
      <c r="N35" s="14">
        <v>46177</v>
      </c>
      <c r="O35" s="80">
        <v>46177</v>
      </c>
      <c r="P35" s="80">
        <v>46178</v>
      </c>
      <c r="Q35" s="36">
        <v>46225</v>
      </c>
      <c r="R35" s="40">
        <f t="shared" si="1"/>
        <v>35</v>
      </c>
      <c r="S35" s="38">
        <v>46230</v>
      </c>
      <c r="T35" s="91">
        <f t="shared" si="2"/>
        <v>4</v>
      </c>
      <c r="U35" s="30">
        <v>46231</v>
      </c>
      <c r="V35" s="41">
        <f t="shared" si="3"/>
        <v>2</v>
      </c>
      <c r="W35" s="31">
        <v>46232</v>
      </c>
      <c r="X35" s="42">
        <f t="shared" si="4"/>
        <v>2</v>
      </c>
      <c r="Y35" s="42">
        <f t="shared" si="5"/>
        <v>40</v>
      </c>
      <c r="Z35" s="22" t="str">
        <f>IF(Y35="","",IF(Y35&lt;=24,"EFICIENTE","NO EFICIENTE"))</f>
        <v>NO EFICIENTE</v>
      </c>
      <c r="AA35" s="50" t="s">
        <v>176</v>
      </c>
      <c r="AB35" s="19" t="s">
        <v>74</v>
      </c>
      <c r="AC35" s="2">
        <v>45.72</v>
      </c>
      <c r="AD35" s="3" t="s">
        <v>177</v>
      </c>
      <c r="AE35" s="109">
        <f>(((F35)/((AC35*10*4)+(AC35*12*4))))</f>
        <v>1.4912908613696017</v>
      </c>
      <c r="AF35" s="109">
        <v>2</v>
      </c>
      <c r="AG35" s="106" t="s">
        <v>238</v>
      </c>
    </row>
    <row r="36" spans="1:33" s="86" customFormat="1" ht="33" customHeight="1" x14ac:dyDescent="0.25">
      <c r="A36" s="125" t="s">
        <v>200</v>
      </c>
      <c r="B36" s="12" t="s">
        <v>262</v>
      </c>
      <c r="C36" s="12" t="s">
        <v>106</v>
      </c>
      <c r="D36" s="12" t="s">
        <v>28</v>
      </c>
      <c r="E36" s="19" t="s">
        <v>73</v>
      </c>
      <c r="F36" s="2">
        <v>18000</v>
      </c>
      <c r="G36" s="2">
        <v>3447</v>
      </c>
      <c r="H36" s="2">
        <v>3250</v>
      </c>
      <c r="I36" s="2" t="s">
        <v>261</v>
      </c>
      <c r="J36" s="2">
        <v>578</v>
      </c>
      <c r="K36" s="2">
        <v>12.25</v>
      </c>
      <c r="L36" s="18">
        <f t="shared" si="7"/>
        <v>0.16768204235567161</v>
      </c>
      <c r="M36" s="18">
        <v>0.74</v>
      </c>
      <c r="N36" s="14">
        <v>46177</v>
      </c>
      <c r="O36" s="80">
        <v>46178</v>
      </c>
      <c r="P36" s="80">
        <v>46178</v>
      </c>
      <c r="Q36" s="81">
        <v>46190</v>
      </c>
      <c r="R36" s="40">
        <f t="shared" si="1"/>
        <v>10</v>
      </c>
      <c r="S36" s="82">
        <v>46232</v>
      </c>
      <c r="T36" s="91">
        <f t="shared" si="2"/>
        <v>31</v>
      </c>
      <c r="U36" s="83">
        <v>46237</v>
      </c>
      <c r="V36" s="41">
        <f t="shared" si="3"/>
        <v>4</v>
      </c>
      <c r="W36" s="84">
        <v>46238</v>
      </c>
      <c r="X36" s="42">
        <f t="shared" si="4"/>
        <v>2</v>
      </c>
      <c r="Y36" s="42">
        <f t="shared" si="5"/>
        <v>44</v>
      </c>
      <c r="Z36" s="68" t="str">
        <f t="shared" ref="Z36:Z42" si="9">IF(Y36="","",IF(Y36&lt;=20,"EFICIENTE","NO EFICIENTE"))</f>
        <v>NO EFICIENTE</v>
      </c>
      <c r="AA36" s="85" t="s">
        <v>51</v>
      </c>
      <c r="AB36" s="59" t="s">
        <v>74</v>
      </c>
      <c r="AC36" s="2">
        <v>34.08</v>
      </c>
      <c r="AD36" s="12" t="s">
        <v>264</v>
      </c>
      <c r="AE36" s="109">
        <f>(((F36)/((AC36*10*4)+(AC40*12*4))))</f>
        <v>3.183361629881154</v>
      </c>
      <c r="AF36" s="109">
        <v>1.41</v>
      </c>
      <c r="AG36" s="12" t="s">
        <v>265</v>
      </c>
    </row>
    <row r="37" spans="1:33" ht="13.5" customHeight="1" x14ac:dyDescent="0.3">
      <c r="A37" s="127" t="s">
        <v>184</v>
      </c>
      <c r="B37" s="3" t="s">
        <v>90</v>
      </c>
      <c r="C37" s="3" t="s">
        <v>89</v>
      </c>
      <c r="D37" s="3" t="s">
        <v>23</v>
      </c>
      <c r="E37" s="59" t="s">
        <v>82</v>
      </c>
      <c r="F37" s="15">
        <v>6000</v>
      </c>
      <c r="G37" s="15">
        <v>5229</v>
      </c>
      <c r="H37" s="2">
        <v>5724</v>
      </c>
      <c r="I37" s="2" t="s">
        <v>261</v>
      </c>
      <c r="J37" s="2">
        <v>104</v>
      </c>
      <c r="K37" s="2">
        <v>2.1</v>
      </c>
      <c r="L37" s="18">
        <f t="shared" si="7"/>
        <v>1.9889080130043986E-2</v>
      </c>
      <c r="M37" s="26">
        <v>0.88</v>
      </c>
      <c r="N37" s="14">
        <v>46197</v>
      </c>
      <c r="O37" s="80">
        <v>46197</v>
      </c>
      <c r="P37" s="80">
        <v>46199</v>
      </c>
      <c r="Q37" s="36">
        <v>46225</v>
      </c>
      <c r="R37" s="40">
        <f t="shared" si="1"/>
        <v>21</v>
      </c>
      <c r="S37" s="38">
        <v>46233</v>
      </c>
      <c r="T37" s="91">
        <f t="shared" si="2"/>
        <v>7</v>
      </c>
      <c r="U37" s="30">
        <v>46237</v>
      </c>
      <c r="V37" s="41">
        <f t="shared" si="3"/>
        <v>3</v>
      </c>
      <c r="W37" s="31">
        <v>46240</v>
      </c>
      <c r="X37" s="42">
        <f t="shared" si="4"/>
        <v>4</v>
      </c>
      <c r="Y37" s="42">
        <f t="shared" si="5"/>
        <v>32</v>
      </c>
      <c r="Z37" s="22" t="str">
        <f t="shared" si="9"/>
        <v>NO EFICIENTE</v>
      </c>
      <c r="AA37" s="50" t="s">
        <v>51</v>
      </c>
      <c r="AB37" s="19" t="s">
        <v>279</v>
      </c>
      <c r="AC37" s="15">
        <v>19.440000000000001</v>
      </c>
      <c r="AD37" s="3" t="s">
        <v>185</v>
      </c>
      <c r="AE37" s="109">
        <f>(((F37)/((AC37*10*6)+(AC37*12*6))))</f>
        <v>2.3381967826412269</v>
      </c>
      <c r="AF37" s="109">
        <v>3.79</v>
      </c>
      <c r="AG37" s="106" t="s">
        <v>263</v>
      </c>
    </row>
    <row r="38" spans="1:33" ht="13.5" customHeight="1" x14ac:dyDescent="0.3">
      <c r="A38" s="127" t="s">
        <v>207</v>
      </c>
      <c r="B38" s="3" t="s">
        <v>154</v>
      </c>
      <c r="C38" s="3" t="s">
        <v>155</v>
      </c>
      <c r="D38" s="3" t="s">
        <v>31</v>
      </c>
      <c r="E38" s="19" t="s">
        <v>73</v>
      </c>
      <c r="F38" s="15">
        <v>4200</v>
      </c>
      <c r="G38" s="15">
        <v>3656</v>
      </c>
      <c r="H38" s="2">
        <v>1235</v>
      </c>
      <c r="I38" s="2">
        <v>609</v>
      </c>
      <c r="J38" s="2">
        <v>97</v>
      </c>
      <c r="K38" s="2">
        <v>0.62</v>
      </c>
      <c r="L38" s="18">
        <f t="shared" si="7"/>
        <v>2.6531728665207876E-2</v>
      </c>
      <c r="M38" s="26">
        <v>0.8</v>
      </c>
      <c r="N38" s="14">
        <v>46190</v>
      </c>
      <c r="O38" s="80">
        <v>46190</v>
      </c>
      <c r="P38" s="80">
        <v>46192</v>
      </c>
      <c r="Q38" s="36">
        <v>46199</v>
      </c>
      <c r="R38" s="40">
        <f t="shared" si="1"/>
        <v>8</v>
      </c>
      <c r="S38" s="38">
        <v>46206</v>
      </c>
      <c r="T38" s="91">
        <f t="shared" si="2"/>
        <v>6</v>
      </c>
      <c r="U38" s="30">
        <v>46224</v>
      </c>
      <c r="V38" s="41">
        <f t="shared" si="3"/>
        <v>13</v>
      </c>
      <c r="W38" s="31">
        <v>46224</v>
      </c>
      <c r="X38" s="42">
        <f t="shared" si="4"/>
        <v>1</v>
      </c>
      <c r="Y38" s="42">
        <f t="shared" si="5"/>
        <v>25</v>
      </c>
      <c r="Z38" s="22" t="str">
        <f t="shared" si="9"/>
        <v>NO EFICIENTE</v>
      </c>
      <c r="AA38" s="50" t="s">
        <v>51</v>
      </c>
      <c r="AB38" s="19" t="s">
        <v>156</v>
      </c>
      <c r="AC38" s="15">
        <v>18.72</v>
      </c>
      <c r="AD38" s="3" t="s">
        <v>157</v>
      </c>
      <c r="AE38" s="109">
        <f>(((F38)/((AC38*10*9+(AC38*12*9)))))</f>
        <v>1.1331261331261333</v>
      </c>
      <c r="AF38" s="109">
        <v>2.1</v>
      </c>
      <c r="AG38" s="106"/>
    </row>
    <row r="39" spans="1:33" ht="14.4" x14ac:dyDescent="0.3">
      <c r="A39" s="125" t="s">
        <v>224</v>
      </c>
      <c r="B39" s="3" t="s">
        <v>225</v>
      </c>
      <c r="C39" s="3" t="s">
        <v>227</v>
      </c>
      <c r="D39" s="3" t="s">
        <v>23</v>
      </c>
      <c r="E39" s="19" t="s">
        <v>42</v>
      </c>
      <c r="F39" s="15">
        <f>10350+10350</f>
        <v>20700</v>
      </c>
      <c r="G39" s="15">
        <v>6628</v>
      </c>
      <c r="H39" s="2">
        <v>6247</v>
      </c>
      <c r="I39" s="2" t="s">
        <v>261</v>
      </c>
      <c r="J39" s="2"/>
      <c r="K39" s="2"/>
      <c r="L39" s="18">
        <f t="shared" si="7"/>
        <v>0</v>
      </c>
      <c r="M39" s="26">
        <v>0.85</v>
      </c>
      <c r="N39" s="14">
        <v>46177</v>
      </c>
      <c r="O39" s="80">
        <v>46179</v>
      </c>
      <c r="P39" s="80">
        <v>46212</v>
      </c>
      <c r="Q39" s="36">
        <v>46223</v>
      </c>
      <c r="R39" s="40">
        <f t="shared" si="1"/>
        <v>33</v>
      </c>
      <c r="S39" s="38">
        <v>46232</v>
      </c>
      <c r="T39" s="91">
        <f t="shared" si="2"/>
        <v>8</v>
      </c>
      <c r="U39" s="30">
        <v>46234</v>
      </c>
      <c r="V39" s="41">
        <f t="shared" si="3"/>
        <v>3</v>
      </c>
      <c r="W39" s="31">
        <v>46245</v>
      </c>
      <c r="X39" s="42">
        <f t="shared" si="4"/>
        <v>8</v>
      </c>
      <c r="Y39" s="42">
        <f t="shared" si="5"/>
        <v>49</v>
      </c>
      <c r="Z39" s="22" t="str">
        <f t="shared" si="9"/>
        <v>NO EFICIENTE</v>
      </c>
      <c r="AA39" s="50" t="s">
        <v>51</v>
      </c>
      <c r="AB39" s="19" t="s">
        <v>226</v>
      </c>
      <c r="AC39" s="15">
        <v>25.56</v>
      </c>
      <c r="AD39" s="3" t="s">
        <v>69</v>
      </c>
      <c r="AE39" s="109">
        <f>(((F39)/((AC39*10*11)+(AC44*12*11))))</f>
        <v>4.5454545454545459</v>
      </c>
      <c r="AF39" s="109">
        <f>22.5/24</f>
        <v>0.9375</v>
      </c>
      <c r="AG39" s="106"/>
    </row>
    <row r="40" spans="1:33" ht="14.4" x14ac:dyDescent="0.25">
      <c r="A40" s="127" t="s">
        <v>269</v>
      </c>
      <c r="B40" s="3" t="s">
        <v>268</v>
      </c>
      <c r="C40" s="3" t="s">
        <v>267</v>
      </c>
      <c r="D40" s="3" t="s">
        <v>28</v>
      </c>
      <c r="E40" s="3" t="s">
        <v>82</v>
      </c>
      <c r="F40" s="15">
        <v>10000</v>
      </c>
      <c r="G40" s="15">
        <v>10054</v>
      </c>
      <c r="H40" s="15">
        <v>9950</v>
      </c>
      <c r="I40" s="15" t="s">
        <v>261</v>
      </c>
      <c r="J40" s="15">
        <v>561</v>
      </c>
      <c r="K40" s="15">
        <v>3.59</v>
      </c>
      <c r="L40" s="18">
        <f t="shared" si="7"/>
        <v>5.5798687089715533E-2</v>
      </c>
      <c r="M40" s="26">
        <v>0.84</v>
      </c>
      <c r="N40" s="80">
        <v>46216</v>
      </c>
      <c r="O40" s="80">
        <v>46216</v>
      </c>
      <c r="P40" s="80">
        <v>46224</v>
      </c>
      <c r="Q40" s="95">
        <v>46232</v>
      </c>
      <c r="R40" s="40">
        <f t="shared" si="1"/>
        <v>13</v>
      </c>
      <c r="S40" s="87">
        <v>46239</v>
      </c>
      <c r="T40" s="92">
        <f t="shared" si="2"/>
        <v>6</v>
      </c>
      <c r="U40" s="30">
        <v>46241</v>
      </c>
      <c r="V40" s="77">
        <f t="shared" si="3"/>
        <v>3</v>
      </c>
      <c r="W40" s="31">
        <v>46245</v>
      </c>
      <c r="X40" s="33">
        <f t="shared" si="4"/>
        <v>3</v>
      </c>
      <c r="Y40" s="33">
        <f t="shared" si="5"/>
        <v>22</v>
      </c>
      <c r="Z40" s="15" t="str">
        <f t="shared" si="9"/>
        <v>NO EFICIENTE</v>
      </c>
      <c r="AA40" s="3" t="s">
        <v>51</v>
      </c>
      <c r="AB40" s="3" t="s">
        <v>266</v>
      </c>
      <c r="AC40" s="15">
        <v>89.4</v>
      </c>
      <c r="AD40" s="3" t="s">
        <v>259</v>
      </c>
      <c r="AE40" s="109">
        <f>(((F40)/((AC40*10*4)+(AC19*12*4))))</f>
        <v>1.3144058885383807</v>
      </c>
      <c r="AF40" s="109">
        <f>25/24</f>
        <v>1.0416666666666667</v>
      </c>
      <c r="AG40" s="106"/>
    </row>
    <row r="41" spans="1:33" ht="14.4" x14ac:dyDescent="0.3">
      <c r="A41" s="125" t="s">
        <v>275</v>
      </c>
      <c r="B41" s="3" t="s">
        <v>276</v>
      </c>
      <c r="C41" s="3" t="s">
        <v>277</v>
      </c>
      <c r="D41" s="3" t="s">
        <v>28</v>
      </c>
      <c r="E41" s="19" t="s">
        <v>179</v>
      </c>
      <c r="F41" s="15">
        <v>4000</v>
      </c>
      <c r="G41" s="15">
        <v>4015</v>
      </c>
      <c r="H41" s="2">
        <v>4333</v>
      </c>
      <c r="I41" s="2"/>
      <c r="J41" s="2">
        <v>338</v>
      </c>
      <c r="K41" s="2">
        <v>17.61</v>
      </c>
      <c r="L41" s="18">
        <f t="shared" si="7"/>
        <v>8.4184308841843095E-2</v>
      </c>
      <c r="M41" s="26">
        <v>0.75</v>
      </c>
      <c r="N41" s="14">
        <v>46177</v>
      </c>
      <c r="O41" s="14">
        <v>46177</v>
      </c>
      <c r="P41" s="14">
        <v>46177</v>
      </c>
      <c r="Q41" s="36">
        <v>46223</v>
      </c>
      <c r="R41" s="40">
        <f t="shared" si="1"/>
        <v>33</v>
      </c>
      <c r="S41" s="38">
        <v>46226</v>
      </c>
      <c r="T41" s="91">
        <f t="shared" si="2"/>
        <v>4</v>
      </c>
      <c r="U41" s="30">
        <v>46227</v>
      </c>
      <c r="V41" s="41">
        <f t="shared" si="3"/>
        <v>2</v>
      </c>
      <c r="W41" s="31">
        <v>46246</v>
      </c>
      <c r="X41" s="42">
        <f t="shared" si="4"/>
        <v>14</v>
      </c>
      <c r="Y41" s="42">
        <f t="shared" si="5"/>
        <v>50</v>
      </c>
      <c r="Z41" s="22" t="str">
        <f t="shared" si="9"/>
        <v>NO EFICIENTE</v>
      </c>
      <c r="AA41" s="50" t="s">
        <v>51</v>
      </c>
      <c r="AB41" s="19" t="s">
        <v>278</v>
      </c>
      <c r="AC41" s="15">
        <v>38.159999999999997</v>
      </c>
      <c r="AD41" s="3" t="s">
        <v>171</v>
      </c>
      <c r="AE41" s="109">
        <f>(((F41)/((AC41*10*4)+(AC41*12*4))))</f>
        <v>1.1911568515342101</v>
      </c>
      <c r="AF41" s="109">
        <f>33/24</f>
        <v>1.375</v>
      </c>
      <c r="AG41" s="106"/>
    </row>
    <row r="42" spans="1:33" ht="13.5" customHeight="1" x14ac:dyDescent="0.25">
      <c r="A42" s="127" t="s">
        <v>286</v>
      </c>
      <c r="B42" s="3" t="s">
        <v>285</v>
      </c>
      <c r="C42" s="3" t="s">
        <v>284</v>
      </c>
      <c r="D42" s="3" t="s">
        <v>28</v>
      </c>
      <c r="E42" s="3" t="s">
        <v>82</v>
      </c>
      <c r="F42" s="15">
        <v>6000</v>
      </c>
      <c r="G42" s="15">
        <v>4875</v>
      </c>
      <c r="H42" s="15">
        <v>4600</v>
      </c>
      <c r="I42" s="15">
        <v>35</v>
      </c>
      <c r="J42" s="15">
        <v>521</v>
      </c>
      <c r="K42" s="15">
        <v>16.46</v>
      </c>
      <c r="L42" s="18">
        <f t="shared" si="7"/>
        <v>0.10687179487179488</v>
      </c>
      <c r="M42" s="26">
        <v>0.62</v>
      </c>
      <c r="N42" s="80">
        <v>46177</v>
      </c>
      <c r="O42" s="80">
        <v>46177</v>
      </c>
      <c r="P42" s="80">
        <v>46178</v>
      </c>
      <c r="Q42" s="95">
        <v>46241</v>
      </c>
      <c r="R42" s="40">
        <f t="shared" si="1"/>
        <v>47</v>
      </c>
      <c r="S42" s="87">
        <v>46247</v>
      </c>
      <c r="T42" s="104">
        <f t="shared" si="2"/>
        <v>5</v>
      </c>
      <c r="U42" s="30">
        <v>46251</v>
      </c>
      <c r="V42" s="77">
        <f t="shared" si="3"/>
        <v>3</v>
      </c>
      <c r="W42" s="31">
        <v>46252</v>
      </c>
      <c r="X42" s="33">
        <f t="shared" si="4"/>
        <v>2</v>
      </c>
      <c r="Y42" s="33">
        <f t="shared" si="5"/>
        <v>54</v>
      </c>
      <c r="Z42" s="15" t="str">
        <f t="shared" si="9"/>
        <v>NO EFICIENTE</v>
      </c>
      <c r="AA42" s="3" t="s">
        <v>176</v>
      </c>
      <c r="AB42" s="3" t="s">
        <v>74</v>
      </c>
      <c r="AC42" s="2">
        <v>34.799999999999997</v>
      </c>
      <c r="AD42" s="3" t="s">
        <v>287</v>
      </c>
      <c r="AE42" s="109">
        <f>(((F42)/((AC42*10*4)+(AC42*12*4))))</f>
        <v>1.9592476489028217</v>
      </c>
      <c r="AF42" s="109">
        <f>64/24</f>
        <v>2.6666666666666665</v>
      </c>
      <c r="AG42" s="106" t="s">
        <v>283</v>
      </c>
    </row>
    <row r="43" spans="1:33" ht="14.4" x14ac:dyDescent="0.3">
      <c r="A43" s="125" t="s">
        <v>191</v>
      </c>
      <c r="B43" s="3" t="s">
        <v>192</v>
      </c>
      <c r="C43" s="3" t="s">
        <v>193</v>
      </c>
      <c r="D43" s="3" t="s">
        <v>23</v>
      </c>
      <c r="E43" s="19" t="s">
        <v>42</v>
      </c>
      <c r="F43" s="15">
        <v>14000</v>
      </c>
      <c r="G43" s="15">
        <v>13736</v>
      </c>
      <c r="H43" s="2">
        <v>13623</v>
      </c>
      <c r="I43" s="2" t="s">
        <v>261</v>
      </c>
      <c r="J43" s="2"/>
      <c r="K43" s="2"/>
      <c r="L43" s="18">
        <f t="shared" si="7"/>
        <v>0</v>
      </c>
      <c r="M43" s="26">
        <v>0.87</v>
      </c>
      <c r="N43" s="14">
        <v>46199</v>
      </c>
      <c r="O43" s="80">
        <v>46199</v>
      </c>
      <c r="P43" s="80">
        <v>46199</v>
      </c>
      <c r="Q43" s="36">
        <v>46216</v>
      </c>
      <c r="R43" s="40">
        <f t="shared" si="1"/>
        <v>12</v>
      </c>
      <c r="S43" s="38">
        <v>46240</v>
      </c>
      <c r="T43" s="104">
        <f t="shared" si="2"/>
        <v>19</v>
      </c>
      <c r="U43" s="30">
        <v>46241</v>
      </c>
      <c r="V43" s="41">
        <f t="shared" si="3"/>
        <v>2</v>
      </c>
      <c r="W43" s="31">
        <v>46241</v>
      </c>
      <c r="X43" s="42">
        <f t="shared" si="4"/>
        <v>1</v>
      </c>
      <c r="Y43" s="42">
        <f t="shared" si="5"/>
        <v>31</v>
      </c>
      <c r="Z43" s="54" t="str">
        <f>IF(AF43="","",IF(AF43&lt;=AE43,"EFICIENTE","NO EFICIENTE"))</f>
        <v>NO EFICIENTE</v>
      </c>
      <c r="AA43" s="50" t="s">
        <v>51</v>
      </c>
      <c r="AB43" s="19" t="s">
        <v>34</v>
      </c>
      <c r="AC43" s="15">
        <v>13.92</v>
      </c>
      <c r="AD43" s="3" t="s">
        <v>108</v>
      </c>
      <c r="AE43" s="109">
        <f>(((F43)/((AC43*10*8)+(AC43*12*8))))</f>
        <v>5.7144723092998957</v>
      </c>
      <c r="AF43" s="109">
        <f>162/24</f>
        <v>6.75</v>
      </c>
      <c r="AG43" s="106"/>
    </row>
    <row r="44" spans="1:33" ht="13.5" customHeight="1" x14ac:dyDescent="0.3">
      <c r="A44" s="125" t="s">
        <v>40</v>
      </c>
      <c r="B44" s="12" t="s">
        <v>70</v>
      </c>
      <c r="C44" s="12" t="s">
        <v>41</v>
      </c>
      <c r="D44" s="12" t="s">
        <v>23</v>
      </c>
      <c r="E44" s="59" t="s">
        <v>42</v>
      </c>
      <c r="F44" s="2">
        <v>12000</v>
      </c>
      <c r="G44" s="15">
        <v>12454</v>
      </c>
      <c r="H44" s="2">
        <v>10330</v>
      </c>
      <c r="I44" s="2" t="s">
        <v>261</v>
      </c>
      <c r="J44" s="2"/>
      <c r="K44" s="2"/>
      <c r="L44" s="18">
        <f t="shared" si="7"/>
        <v>0</v>
      </c>
      <c r="M44" s="13">
        <v>0.73</v>
      </c>
      <c r="N44" s="14">
        <v>46192</v>
      </c>
      <c r="O44" s="80">
        <v>46192</v>
      </c>
      <c r="P44" s="14">
        <v>46192</v>
      </c>
      <c r="Q44" s="37">
        <v>46206</v>
      </c>
      <c r="R44" s="40">
        <f t="shared" si="1"/>
        <v>11</v>
      </c>
      <c r="S44" s="39">
        <v>46218</v>
      </c>
      <c r="T44" s="104">
        <f t="shared" si="2"/>
        <v>9</v>
      </c>
      <c r="U44" s="30">
        <v>46253</v>
      </c>
      <c r="V44" s="41">
        <f t="shared" si="3"/>
        <v>26</v>
      </c>
      <c r="W44" s="32">
        <v>46253</v>
      </c>
      <c r="X44" s="42">
        <f t="shared" si="4"/>
        <v>1</v>
      </c>
      <c r="Y44" s="42">
        <f t="shared" si="5"/>
        <v>44</v>
      </c>
      <c r="Z44" s="54" t="str">
        <f>IF(AF44="","",IF(AF44&lt;=AE44,"EFICIENTE","NO EFICIENTE"))</f>
        <v>NO EFICIENTE</v>
      </c>
      <c r="AA44" s="50" t="s">
        <v>51</v>
      </c>
      <c r="AB44" s="20" t="s">
        <v>34</v>
      </c>
      <c r="AC44" s="15">
        <v>13.2</v>
      </c>
      <c r="AD44" s="3" t="s">
        <v>257</v>
      </c>
      <c r="AE44" s="109">
        <f>(((F44)/((AC44*10*6)+(AC49*12*6))))</f>
        <v>7.4805505685218439</v>
      </c>
      <c r="AF44" s="109">
        <f>187.5/24</f>
        <v>7.8125</v>
      </c>
      <c r="AG44" s="12" t="s">
        <v>39</v>
      </c>
    </row>
    <row r="45" spans="1:33" ht="13.5" customHeight="1" x14ac:dyDescent="0.3">
      <c r="A45" s="125" t="s">
        <v>228</v>
      </c>
      <c r="B45" s="3" t="s">
        <v>240</v>
      </c>
      <c r="C45" s="3" t="s">
        <v>229</v>
      </c>
      <c r="D45" s="3" t="s">
        <v>23</v>
      </c>
      <c r="E45" s="19" t="s">
        <v>38</v>
      </c>
      <c r="F45" s="15">
        <v>10000</v>
      </c>
      <c r="G45" s="15">
        <v>12000</v>
      </c>
      <c r="H45" s="2">
        <v>11642</v>
      </c>
      <c r="I45" s="2" t="s">
        <v>261</v>
      </c>
      <c r="J45" s="2">
        <v>793</v>
      </c>
      <c r="K45" s="2">
        <v>11.42</v>
      </c>
      <c r="L45" s="18">
        <f t="shared" si="7"/>
        <v>6.6083333333333327E-2</v>
      </c>
      <c r="M45" s="26">
        <v>0.81</v>
      </c>
      <c r="N45" s="14">
        <v>46199</v>
      </c>
      <c r="O45" s="80">
        <v>46199</v>
      </c>
      <c r="P45" s="80">
        <v>46199</v>
      </c>
      <c r="Q45" s="36">
        <v>46217</v>
      </c>
      <c r="R45" s="40">
        <f t="shared" si="1"/>
        <v>13</v>
      </c>
      <c r="S45" s="38">
        <v>46258</v>
      </c>
      <c r="T45" s="104">
        <f t="shared" si="2"/>
        <v>30</v>
      </c>
      <c r="U45" s="30">
        <v>46261</v>
      </c>
      <c r="V45" s="41">
        <f t="shared" si="3"/>
        <v>4</v>
      </c>
      <c r="W45" s="31">
        <v>46261</v>
      </c>
      <c r="X45" s="42">
        <f t="shared" si="4"/>
        <v>1</v>
      </c>
      <c r="Y45" s="42">
        <f t="shared" si="5"/>
        <v>45</v>
      </c>
      <c r="Z45" s="54" t="str">
        <f>IF(AF45="","",IF(AF45&lt;=AE45,"EFICIENTE","NO EFICIENTE"))</f>
        <v>NO EFICIENTE</v>
      </c>
      <c r="AA45" s="50" t="s">
        <v>176</v>
      </c>
      <c r="AB45" s="19" t="s">
        <v>34</v>
      </c>
      <c r="AC45" s="15">
        <v>14.64</v>
      </c>
      <c r="AD45" s="3" t="s">
        <v>258</v>
      </c>
      <c r="AE45" s="109">
        <f>(((F45)/((AC45*10*6)+(AC45*12*6))))</f>
        <v>5.1746977976486175</v>
      </c>
      <c r="AF45" s="109">
        <v>6</v>
      </c>
      <c r="AG45" s="106"/>
    </row>
    <row r="46" spans="1:33" ht="14.4" x14ac:dyDescent="0.3">
      <c r="A46" s="125" t="s">
        <v>21</v>
      </c>
      <c r="B46" s="3" t="s">
        <v>25</v>
      </c>
      <c r="C46" s="3" t="s">
        <v>22</v>
      </c>
      <c r="D46" s="3" t="s">
        <v>23</v>
      </c>
      <c r="E46" s="19" t="s">
        <v>53</v>
      </c>
      <c r="F46" s="15">
        <v>14000</v>
      </c>
      <c r="G46" s="15">
        <v>13534</v>
      </c>
      <c r="H46" s="2">
        <v>11949</v>
      </c>
      <c r="I46" s="2" t="s">
        <v>261</v>
      </c>
      <c r="J46" s="2">
        <v>1382</v>
      </c>
      <c r="K46" s="2">
        <v>24.33</v>
      </c>
      <c r="L46" s="18">
        <f t="shared" si="7"/>
        <v>0.10211319639426629</v>
      </c>
      <c r="M46" s="26">
        <v>0.81</v>
      </c>
      <c r="N46" s="14">
        <v>46192</v>
      </c>
      <c r="O46" s="80">
        <v>46192</v>
      </c>
      <c r="P46" s="80">
        <v>46192</v>
      </c>
      <c r="Q46" s="36">
        <v>46178</v>
      </c>
      <c r="R46" s="40">
        <f t="shared" si="1"/>
        <v>-11</v>
      </c>
      <c r="S46" s="38">
        <v>46239</v>
      </c>
      <c r="T46" s="104">
        <f t="shared" si="2"/>
        <v>44</v>
      </c>
      <c r="U46" s="30">
        <v>46245</v>
      </c>
      <c r="V46" s="41">
        <f t="shared" si="3"/>
        <v>5</v>
      </c>
      <c r="W46" s="31">
        <v>46245</v>
      </c>
      <c r="X46" s="42">
        <f t="shared" si="4"/>
        <v>1</v>
      </c>
      <c r="Y46" s="42">
        <f t="shared" si="5"/>
        <v>38</v>
      </c>
      <c r="Z46" s="54" t="str">
        <f>IF(AF46="","",IF(AF46&lt;=AE46,"EFICIENTE","NO EFICIENTE"))</f>
        <v>NO EFICIENTE</v>
      </c>
      <c r="AA46" s="50" t="s">
        <v>176</v>
      </c>
      <c r="AB46" s="19" t="s">
        <v>34</v>
      </c>
      <c r="AC46" s="15">
        <v>14.04</v>
      </c>
      <c r="AD46" s="3" t="s">
        <v>54</v>
      </c>
      <c r="AE46" s="109">
        <f>(((F46)/((AC46*10*6)+(AC46*12*6))))</f>
        <v>7.5541742208408884</v>
      </c>
      <c r="AF46" s="109">
        <f>234/24</f>
        <v>9.75</v>
      </c>
      <c r="AG46" s="106"/>
    </row>
    <row r="47" spans="1:33" ht="14.4" x14ac:dyDescent="0.3">
      <c r="A47" s="125" t="s">
        <v>35</v>
      </c>
      <c r="B47" s="12" t="s">
        <v>70</v>
      </c>
      <c r="C47" s="12" t="s">
        <v>36</v>
      </c>
      <c r="D47" s="12" t="s">
        <v>23</v>
      </c>
      <c r="E47" s="59" t="s">
        <v>82</v>
      </c>
      <c r="F47" s="2">
        <v>19000</v>
      </c>
      <c r="G47" s="2">
        <v>17605</v>
      </c>
      <c r="H47" s="2">
        <v>17019</v>
      </c>
      <c r="I47" s="2" t="s">
        <v>261</v>
      </c>
      <c r="J47" s="2">
        <v>434</v>
      </c>
      <c r="K47" s="2">
        <v>8.5</v>
      </c>
      <c r="L47" s="18">
        <f t="shared" si="7"/>
        <v>2.4652087475149104E-2</v>
      </c>
      <c r="M47" s="13">
        <v>0.82</v>
      </c>
      <c r="N47" s="14">
        <v>46178</v>
      </c>
      <c r="O47" s="14">
        <v>46178</v>
      </c>
      <c r="P47" s="14">
        <v>46178</v>
      </c>
      <c r="Q47" s="37">
        <v>46185</v>
      </c>
      <c r="R47" s="40">
        <f t="shared" si="1"/>
        <v>6</v>
      </c>
      <c r="S47" s="39">
        <v>46193</v>
      </c>
      <c r="T47" s="104">
        <f t="shared" si="2"/>
        <v>6</v>
      </c>
      <c r="U47" s="30">
        <v>46246</v>
      </c>
      <c r="V47" s="41">
        <f t="shared" si="3"/>
        <v>38</v>
      </c>
      <c r="W47" s="32">
        <v>46277</v>
      </c>
      <c r="X47" s="42">
        <f t="shared" si="4"/>
        <v>23</v>
      </c>
      <c r="Y47" s="42">
        <f t="shared" si="5"/>
        <v>71</v>
      </c>
      <c r="Z47" s="54" t="str">
        <f>IF(AF47="","",IF(AF47&lt;=AE47,"EFICIENTE","NO EFICIENTE"))</f>
        <v>NO EFICIENTE</v>
      </c>
      <c r="AA47" s="50" t="s">
        <v>51</v>
      </c>
      <c r="AB47" s="20" t="s">
        <v>34</v>
      </c>
      <c r="AC47" s="15">
        <v>13.56</v>
      </c>
      <c r="AD47" s="2" t="s">
        <v>62</v>
      </c>
      <c r="AE47" s="109">
        <f>(((F47)/((AC47*10*8)+(AC47*12*8))))</f>
        <v>7.9612496647894879</v>
      </c>
      <c r="AF47" s="109">
        <v>11.7</v>
      </c>
      <c r="AG47" s="106" t="s">
        <v>290</v>
      </c>
    </row>
    <row r="48" spans="1:33" ht="13.5" customHeight="1" x14ac:dyDescent="0.3">
      <c r="A48" s="125" t="s">
        <v>138</v>
      </c>
      <c r="B48" s="3" t="s">
        <v>49</v>
      </c>
      <c r="C48" s="3" t="s">
        <v>139</v>
      </c>
      <c r="D48" s="3" t="s">
        <v>23</v>
      </c>
      <c r="E48" s="19" t="s">
        <v>38</v>
      </c>
      <c r="F48" s="15">
        <v>2500</v>
      </c>
      <c r="G48" s="15">
        <v>1417</v>
      </c>
      <c r="H48" s="2"/>
      <c r="I48" s="2" t="s">
        <v>261</v>
      </c>
      <c r="J48" s="2">
        <v>0</v>
      </c>
      <c r="K48" s="2">
        <v>0</v>
      </c>
      <c r="L48" s="18">
        <f t="shared" si="7"/>
        <v>0</v>
      </c>
      <c r="M48" s="26">
        <v>0.8</v>
      </c>
      <c r="N48" s="14">
        <v>46206</v>
      </c>
      <c r="O48" s="80">
        <v>46206</v>
      </c>
      <c r="P48" s="80">
        <v>46206</v>
      </c>
      <c r="Q48" s="36">
        <v>46213</v>
      </c>
      <c r="R48" s="40">
        <f t="shared" si="1"/>
        <v>6</v>
      </c>
      <c r="S48" s="38">
        <v>46227</v>
      </c>
      <c r="T48" s="104">
        <f t="shared" si="2"/>
        <v>11</v>
      </c>
      <c r="U48" s="30">
        <v>46267</v>
      </c>
      <c r="V48" s="41">
        <f t="shared" si="3"/>
        <v>29</v>
      </c>
      <c r="W48" s="31">
        <v>46267</v>
      </c>
      <c r="X48" s="42">
        <f t="shared" si="4"/>
        <v>1</v>
      </c>
      <c r="Y48" s="42">
        <f t="shared" si="5"/>
        <v>44</v>
      </c>
      <c r="Z48" s="22" t="str">
        <f>IF(Y48="","",IF(Y48&lt;=20,"EFICIENTE","NO EFICIENTE"))</f>
        <v>NO EFICIENTE</v>
      </c>
      <c r="AA48" s="50" t="s">
        <v>51</v>
      </c>
      <c r="AB48" s="19" t="s">
        <v>173</v>
      </c>
      <c r="AC48" s="15">
        <v>14.04</v>
      </c>
      <c r="AD48" s="3" t="s">
        <v>256</v>
      </c>
      <c r="AE48" s="109">
        <f>(((F48)/((AC48*10*3)+(AC48*12*3))))</f>
        <v>2.6979193645860318</v>
      </c>
      <c r="AF48" s="109"/>
      <c r="AG48" s="106" t="s">
        <v>289</v>
      </c>
    </row>
    <row r="49" spans="1:33" ht="14.4" x14ac:dyDescent="0.3">
      <c r="A49" s="125" t="s">
        <v>288</v>
      </c>
      <c r="B49" s="12" t="s">
        <v>49</v>
      </c>
      <c r="C49" s="12" t="s">
        <v>50</v>
      </c>
      <c r="D49" s="12" t="s">
        <v>23</v>
      </c>
      <c r="E49" s="19" t="s">
        <v>38</v>
      </c>
      <c r="F49" s="2">
        <v>5000</v>
      </c>
      <c r="G49" s="2">
        <v>3779</v>
      </c>
      <c r="H49" s="2">
        <v>3779</v>
      </c>
      <c r="I49" s="2" t="s">
        <v>261</v>
      </c>
      <c r="J49" s="2">
        <v>58</v>
      </c>
      <c r="K49" s="2">
        <v>8.3000000000000007</v>
      </c>
      <c r="L49" s="18">
        <f t="shared" si="7"/>
        <v>1.5347975654935168E-2</v>
      </c>
      <c r="M49" s="13">
        <v>0.74</v>
      </c>
      <c r="N49" s="14">
        <v>46111</v>
      </c>
      <c r="O49" s="14">
        <v>46114</v>
      </c>
      <c r="P49" s="14">
        <v>46122</v>
      </c>
      <c r="Q49" s="37">
        <v>46213</v>
      </c>
      <c r="R49" s="40">
        <f t="shared" si="1"/>
        <v>75</v>
      </c>
      <c r="S49" s="39">
        <v>46230</v>
      </c>
      <c r="T49" s="104">
        <f t="shared" si="2"/>
        <v>12</v>
      </c>
      <c r="U49" s="30">
        <v>46267</v>
      </c>
      <c r="V49" s="41">
        <f t="shared" si="3"/>
        <v>28</v>
      </c>
      <c r="W49" s="32">
        <v>46267</v>
      </c>
      <c r="X49" s="42">
        <f t="shared" si="4"/>
        <v>1</v>
      </c>
      <c r="Y49" s="42">
        <f t="shared" si="5"/>
        <v>113</v>
      </c>
      <c r="Z49" s="22" t="str">
        <f>IF(Y49="","",IF(Y49&lt;=20,"EFICIENTE","NO EFICIENTE"))</f>
        <v>NO EFICIENTE</v>
      </c>
      <c r="AA49" s="50" t="s">
        <v>51</v>
      </c>
      <c r="AB49" s="20" t="s">
        <v>68</v>
      </c>
      <c r="AC49" s="15">
        <v>11.28</v>
      </c>
      <c r="AD49" s="3" t="s">
        <v>69</v>
      </c>
      <c r="AE49" s="109">
        <f>(((F49)/((AC49*10*4)+(AC45*12*4))))</f>
        <v>4.3330560177481976</v>
      </c>
      <c r="AF49" s="109"/>
      <c r="AG49" s="12" t="s">
        <v>289</v>
      </c>
    </row>
    <row r="51" spans="1:33" ht="49.2" customHeight="1" x14ac:dyDescent="0.25">
      <c r="A51" s="55"/>
      <c r="B51" s="55" t="s">
        <v>183</v>
      </c>
      <c r="C51" s="55"/>
      <c r="D51" s="55"/>
      <c r="E51" s="60"/>
      <c r="F51" s="89"/>
      <c r="G51" s="89"/>
      <c r="H51" s="89"/>
      <c r="I51" s="89"/>
      <c r="J51" s="89"/>
      <c r="K51" s="89"/>
      <c r="L51" s="89"/>
      <c r="M51" s="55"/>
      <c r="N51" s="88"/>
      <c r="O51" s="88"/>
      <c r="P51" s="88"/>
      <c r="Q51" s="88"/>
      <c r="R51" s="55"/>
      <c r="S51" s="88"/>
      <c r="T51" s="55"/>
      <c r="U51" s="88"/>
      <c r="V51" s="55"/>
      <c r="W51" s="88"/>
      <c r="X51" s="55"/>
      <c r="Y51" s="55"/>
      <c r="Z51" s="55"/>
      <c r="AA51" s="55"/>
      <c r="AB51" s="55"/>
      <c r="AC51" s="89"/>
      <c r="AD51" s="55"/>
      <c r="AE51" s="78"/>
      <c r="AF51" s="111"/>
      <c r="AG51" s="107"/>
    </row>
    <row r="52" spans="1:33" ht="14.4" x14ac:dyDescent="0.3">
      <c r="A52" s="130" t="s">
        <v>43</v>
      </c>
      <c r="B52" s="3" t="s">
        <v>209</v>
      </c>
      <c r="C52" s="12" t="s">
        <v>44</v>
      </c>
      <c r="D52" s="12" t="s">
        <v>28</v>
      </c>
      <c r="E52" s="59" t="s">
        <v>82</v>
      </c>
      <c r="F52" s="2">
        <v>15000</v>
      </c>
      <c r="G52" s="2">
        <v>13892</v>
      </c>
      <c r="H52" s="2"/>
      <c r="I52" s="2">
        <v>45000</v>
      </c>
      <c r="J52" s="2">
        <v>1104</v>
      </c>
      <c r="K52" s="2">
        <v>10.7</v>
      </c>
      <c r="L52" s="18">
        <f>+J52/G52</f>
        <v>7.9470198675496692E-2</v>
      </c>
      <c r="M52" s="26">
        <v>0.8</v>
      </c>
      <c r="N52" s="14">
        <v>46132</v>
      </c>
      <c r="O52" s="14">
        <v>46133</v>
      </c>
      <c r="P52" s="14">
        <v>46133</v>
      </c>
      <c r="Q52" s="116">
        <v>46175</v>
      </c>
      <c r="R52" s="40">
        <f t="shared" ref="R52:R58" si="10">IF(Q52="","",NETWORKDAYS(N52,Q52))</f>
        <v>32</v>
      </c>
      <c r="S52" s="87">
        <v>46211</v>
      </c>
      <c r="T52" s="91">
        <f>IF(S52="","",NETWORKDAYS(Q52,S52))</f>
        <v>27</v>
      </c>
      <c r="U52" s="30">
        <v>46218</v>
      </c>
      <c r="V52" s="41">
        <f>IF(U52="","",NETWORKDAYS(S52,U52))</f>
        <v>6</v>
      </c>
      <c r="W52" s="31">
        <v>46218</v>
      </c>
      <c r="X52" s="42">
        <f t="shared" ref="X52:X58" si="11">IF(W52="","",NETWORKDAYS(U52,W52))</f>
        <v>1</v>
      </c>
      <c r="Y52" s="42">
        <f t="shared" ref="Y52:Y58" si="12">IF(W52="","",NETWORKDAYS(N52,W52))</f>
        <v>63</v>
      </c>
      <c r="Z52" s="97" t="str">
        <f t="shared" ref="Z52:Z58" si="13">IF(AF52="","",IF(AF52&lt;=AE52,"EFICIENTE","NO EFICIENTE"))</f>
        <v>EFICIENTE</v>
      </c>
      <c r="AA52" s="19" t="s">
        <v>51</v>
      </c>
      <c r="AB52" s="20" t="s">
        <v>19</v>
      </c>
      <c r="AC52" s="2">
        <v>56.04</v>
      </c>
      <c r="AD52" s="3" t="s">
        <v>171</v>
      </c>
      <c r="AE52" s="109">
        <f>(((F52)/((AC52*10*6)+(AC57*12*6))))</f>
        <v>2.5264774840326623</v>
      </c>
      <c r="AF52" s="109">
        <v>2.1</v>
      </c>
      <c r="AG52" s="106"/>
    </row>
    <row r="53" spans="1:33" ht="13.5" customHeight="1" x14ac:dyDescent="0.3">
      <c r="A53" s="127" t="s">
        <v>208</v>
      </c>
      <c r="B53" s="3" t="s">
        <v>209</v>
      </c>
      <c r="C53" s="3" t="s">
        <v>44</v>
      </c>
      <c r="D53" s="3" t="s">
        <v>28</v>
      </c>
      <c r="E53" s="19" t="s">
        <v>73</v>
      </c>
      <c r="F53" s="15">
        <v>6000</v>
      </c>
      <c r="G53" s="15">
        <v>6286</v>
      </c>
      <c r="H53" s="2"/>
      <c r="I53" s="2">
        <v>6000</v>
      </c>
      <c r="J53" s="2">
        <v>24</v>
      </c>
      <c r="K53" s="2">
        <v>2.19</v>
      </c>
      <c r="L53" s="18">
        <f>+J53/G53</f>
        <v>3.8180082723512569E-3</v>
      </c>
      <c r="M53" s="26">
        <v>0.82</v>
      </c>
      <c r="N53" s="14">
        <v>46132</v>
      </c>
      <c r="O53" s="80">
        <v>46133</v>
      </c>
      <c r="P53" s="80">
        <v>46133</v>
      </c>
      <c r="Q53" s="95">
        <v>46175</v>
      </c>
      <c r="R53" s="40">
        <f t="shared" si="10"/>
        <v>32</v>
      </c>
      <c r="S53" s="87">
        <v>46224</v>
      </c>
      <c r="T53" s="91">
        <f>IF(S53="","",NETWORKDAYS(Q53,S53))</f>
        <v>36</v>
      </c>
      <c r="U53" s="30">
        <v>46225</v>
      </c>
      <c r="V53" s="41">
        <f>IF(U53="","",NETWORKDAYS(S53,U53))</f>
        <v>2</v>
      </c>
      <c r="W53" s="31">
        <v>46225</v>
      </c>
      <c r="X53" s="42">
        <f t="shared" si="11"/>
        <v>1</v>
      </c>
      <c r="Y53" s="42">
        <f t="shared" si="12"/>
        <v>68</v>
      </c>
      <c r="Z53" s="97" t="str">
        <f>IF(AF53="","",IF(AF53&lt;=AE53,"EFICIENTE","NO EFICIENTE"))</f>
        <v>EFICIENTE</v>
      </c>
      <c r="AA53" s="19" t="s">
        <v>51</v>
      </c>
      <c r="AB53" s="19" t="s">
        <v>19</v>
      </c>
      <c r="AC53" s="15">
        <v>56.04</v>
      </c>
      <c r="AD53" s="3" t="s">
        <v>210</v>
      </c>
      <c r="AE53" s="109">
        <f>(((F53)/((AC53*10*6)+(AC53*12*6))))</f>
        <v>0.8111089481539161</v>
      </c>
      <c r="AF53" s="109">
        <v>0.5</v>
      </c>
      <c r="AG53" s="106" t="s">
        <v>211</v>
      </c>
    </row>
    <row r="54" spans="1:33" ht="14.4" x14ac:dyDescent="0.3">
      <c r="A54" s="127" t="s">
        <v>272</v>
      </c>
      <c r="B54" s="3" t="s">
        <v>251</v>
      </c>
      <c r="C54" s="3" t="s">
        <v>274</v>
      </c>
      <c r="D54" s="3" t="s">
        <v>31</v>
      </c>
      <c r="E54" s="19" t="s">
        <v>53</v>
      </c>
      <c r="F54" s="15">
        <v>29520</v>
      </c>
      <c r="G54" s="15">
        <v>28370</v>
      </c>
      <c r="H54" s="2" t="s">
        <v>261</v>
      </c>
      <c r="I54" s="15">
        <v>28370</v>
      </c>
      <c r="J54" s="2">
        <v>135</v>
      </c>
      <c r="K54" s="2">
        <v>0.17</v>
      </c>
      <c r="L54" s="18">
        <f>+J54/G54</f>
        <v>4.7585477617201272E-3</v>
      </c>
      <c r="M54" s="26">
        <v>0.8</v>
      </c>
      <c r="N54" s="80">
        <v>46185</v>
      </c>
      <c r="O54" s="80">
        <v>46185</v>
      </c>
      <c r="P54" s="80">
        <v>46185</v>
      </c>
      <c r="Q54" s="95">
        <v>46203</v>
      </c>
      <c r="R54" s="98">
        <f t="shared" si="10"/>
        <v>13</v>
      </c>
      <c r="S54" s="87">
        <v>46218</v>
      </c>
      <c r="T54" s="91">
        <f>IF(S54="","",NETWORKDAYS(Q54,S54))</f>
        <v>12</v>
      </c>
      <c r="U54" s="30">
        <v>46231</v>
      </c>
      <c r="V54" s="41">
        <f>IF(U54="","",NETWORKDAYS(S54,U54))</f>
        <v>10</v>
      </c>
      <c r="W54" s="115">
        <v>46231</v>
      </c>
      <c r="X54" s="42">
        <f t="shared" si="11"/>
        <v>1</v>
      </c>
      <c r="Y54" s="42">
        <f t="shared" si="12"/>
        <v>33</v>
      </c>
      <c r="Z54" s="97" t="str">
        <f>IF(AF54="","",IF(AF54&lt;=AE54,"EFICIENTE","NO EFICIENTE"))</f>
        <v>NO EFICIENTE</v>
      </c>
      <c r="AA54" s="19" t="s">
        <v>176</v>
      </c>
      <c r="AB54" s="19" t="s">
        <v>19</v>
      </c>
      <c r="AC54" s="15">
        <v>72.239999999999995</v>
      </c>
      <c r="AD54" s="3" t="s">
        <v>171</v>
      </c>
      <c r="AE54" s="109">
        <f>(((F54)/((AC54*10*4)+(AC54*12*4))))</f>
        <v>4.6436122017517372</v>
      </c>
      <c r="AF54" s="109">
        <f>153/24</f>
        <v>6.375</v>
      </c>
      <c r="AG54" s="106"/>
    </row>
    <row r="55" spans="1:33" ht="14.4" x14ac:dyDescent="0.3">
      <c r="A55" s="127" t="s">
        <v>273</v>
      </c>
      <c r="B55" s="3" t="s">
        <v>251</v>
      </c>
      <c r="C55" s="3" t="s">
        <v>274</v>
      </c>
      <c r="D55" s="3" t="s">
        <v>31</v>
      </c>
      <c r="E55" s="19" t="s">
        <v>82</v>
      </c>
      <c r="F55" s="15">
        <v>23760</v>
      </c>
      <c r="G55" s="15">
        <v>19132</v>
      </c>
      <c r="H55" s="2"/>
      <c r="I55" s="2">
        <v>19132</v>
      </c>
      <c r="J55" s="2">
        <v>26</v>
      </c>
      <c r="K55" s="2">
        <v>0.17</v>
      </c>
      <c r="L55" s="18">
        <f>+J55/G55</f>
        <v>1.358979719841104E-3</v>
      </c>
      <c r="M55" s="26">
        <v>0.86</v>
      </c>
      <c r="N55" s="80">
        <v>46185</v>
      </c>
      <c r="O55" s="80">
        <v>46185</v>
      </c>
      <c r="P55" s="80">
        <v>46185</v>
      </c>
      <c r="Q55" s="95">
        <v>46195</v>
      </c>
      <c r="R55" s="98">
        <f t="shared" si="10"/>
        <v>7</v>
      </c>
      <c r="S55" s="87">
        <v>46232</v>
      </c>
      <c r="T55" s="99">
        <f>IF(S55="","",NETWORKDAYS(Q55,S55))</f>
        <v>28</v>
      </c>
      <c r="U55" s="30">
        <v>46237</v>
      </c>
      <c r="V55" s="100">
        <f>IF(U55="","",NETWORKDAYS(S55,U55))</f>
        <v>4</v>
      </c>
      <c r="W55" s="115">
        <v>46237</v>
      </c>
      <c r="X55" s="42">
        <f t="shared" si="11"/>
        <v>1</v>
      </c>
      <c r="Y55" s="101">
        <f t="shared" si="12"/>
        <v>37</v>
      </c>
      <c r="Z55" s="97" t="str">
        <f>IF(AF55="","",IF(AF55&lt;=AE55,"EFICIENTE","NO EFICIENTE"))</f>
        <v>EFICIENTE</v>
      </c>
      <c r="AA55" s="19" t="s">
        <v>176</v>
      </c>
      <c r="AB55" s="19" t="s">
        <v>19</v>
      </c>
      <c r="AC55" s="15">
        <v>72.239999999999995</v>
      </c>
      <c r="AD55" s="3" t="s">
        <v>171</v>
      </c>
      <c r="AE55" s="109">
        <f>(((F55)/((AC55*10*4)+(AC54*12*4))))</f>
        <v>3.7375415282392033</v>
      </c>
      <c r="AF55" s="109">
        <v>3.7</v>
      </c>
      <c r="AG55" s="106"/>
    </row>
    <row r="56" spans="1:33" ht="14.4" x14ac:dyDescent="0.3">
      <c r="A56" s="129" t="s">
        <v>151</v>
      </c>
      <c r="B56" s="3" t="s">
        <v>152</v>
      </c>
      <c r="C56" s="3" t="s">
        <v>160</v>
      </c>
      <c r="D56" s="3" t="s">
        <v>23</v>
      </c>
      <c r="E56" s="19" t="s">
        <v>53</v>
      </c>
      <c r="F56" s="15">
        <v>8050</v>
      </c>
      <c r="G56" s="15">
        <v>15190</v>
      </c>
      <c r="H56" s="2"/>
      <c r="I56" s="15">
        <v>8602</v>
      </c>
      <c r="J56" s="2">
        <v>397</v>
      </c>
      <c r="K56" s="2">
        <v>2.2999999999999998</v>
      </c>
      <c r="L56" s="18">
        <f t="shared" ref="L56:L58" si="14">+J56/G56</f>
        <v>2.6135615536537194E-2</v>
      </c>
      <c r="M56" s="26">
        <v>0.95</v>
      </c>
      <c r="N56" s="14">
        <v>46127</v>
      </c>
      <c r="O56" s="80">
        <v>46127</v>
      </c>
      <c r="P56" s="80">
        <v>46127</v>
      </c>
      <c r="Q56" s="95">
        <v>46182</v>
      </c>
      <c r="R56" s="40">
        <f t="shared" si="10"/>
        <v>40</v>
      </c>
      <c r="S56" s="87">
        <v>46219</v>
      </c>
      <c r="T56" s="91">
        <f t="shared" ref="T56:T58" si="15">IF(S56="","",NETWORKDAYS(Q56,S56))</f>
        <v>28</v>
      </c>
      <c r="U56" s="30">
        <v>46247</v>
      </c>
      <c r="V56" s="41">
        <f t="shared" ref="V56:V58" si="16">IF(U56="","",NETWORKDAYS(S56,U56))</f>
        <v>21</v>
      </c>
      <c r="W56" s="31">
        <v>46247</v>
      </c>
      <c r="X56" s="42">
        <f t="shared" si="11"/>
        <v>1</v>
      </c>
      <c r="Y56" s="42">
        <f t="shared" si="12"/>
        <v>87</v>
      </c>
      <c r="Z56" s="97" t="str">
        <f>IF(AF56="","",IF(AF56&lt;=AE56,"EFICIENTE","NO EFICIENTE"))</f>
        <v>NO EFICIENTE</v>
      </c>
      <c r="AA56" s="19" t="s">
        <v>51</v>
      </c>
      <c r="AB56" s="19" t="s">
        <v>19</v>
      </c>
      <c r="AC56" s="15">
        <v>17.52</v>
      </c>
      <c r="AD56" s="3" t="s">
        <v>153</v>
      </c>
      <c r="AE56" s="109">
        <f>(((F56)/((AC56*10*8)+(AC52*12*8))))</f>
        <v>1.1870635145337862</v>
      </c>
      <c r="AF56" s="109">
        <v>2.85</v>
      </c>
      <c r="AG56" s="106"/>
    </row>
    <row r="57" spans="1:33" ht="14.4" x14ac:dyDescent="0.3">
      <c r="A57" s="127" t="s">
        <v>159</v>
      </c>
      <c r="B57" s="3" t="s">
        <v>135</v>
      </c>
      <c r="C57" s="3" t="s">
        <v>136</v>
      </c>
      <c r="D57" s="3" t="s">
        <v>28</v>
      </c>
      <c r="E57" s="59" t="s">
        <v>82</v>
      </c>
      <c r="F57" s="15">
        <v>12000</v>
      </c>
      <c r="G57" s="15">
        <v>12507</v>
      </c>
      <c r="H57" s="2"/>
      <c r="I57" s="2">
        <v>12507</v>
      </c>
      <c r="J57" s="2">
        <v>348</v>
      </c>
      <c r="K57" s="2">
        <v>7.9</v>
      </c>
      <c r="L57" s="18">
        <f t="shared" si="14"/>
        <v>2.7824418325737586E-2</v>
      </c>
      <c r="M57" s="26">
        <v>0.81</v>
      </c>
      <c r="N57" s="14">
        <v>46149</v>
      </c>
      <c r="O57" s="80">
        <v>46149</v>
      </c>
      <c r="P57" s="80">
        <v>46171</v>
      </c>
      <c r="Q57" s="95">
        <v>46205</v>
      </c>
      <c r="R57" s="40">
        <f t="shared" si="10"/>
        <v>41</v>
      </c>
      <c r="S57" s="87">
        <v>46223</v>
      </c>
      <c r="T57" s="91">
        <f t="shared" si="15"/>
        <v>13</v>
      </c>
      <c r="U57" s="30">
        <v>46223</v>
      </c>
      <c r="V57" s="41">
        <f t="shared" si="16"/>
        <v>1</v>
      </c>
      <c r="W57" s="31">
        <v>46223</v>
      </c>
      <c r="X57" s="42">
        <f t="shared" si="11"/>
        <v>1</v>
      </c>
      <c r="Y57" s="42">
        <f t="shared" si="12"/>
        <v>53</v>
      </c>
      <c r="Z57" s="97" t="str">
        <f t="shared" si="13"/>
        <v>NO EFICIENTE</v>
      </c>
      <c r="AA57" s="19" t="s">
        <v>176</v>
      </c>
      <c r="AB57" s="19" t="s">
        <v>19</v>
      </c>
      <c r="AC57" s="15">
        <v>35.76</v>
      </c>
      <c r="AD57" s="3" t="s">
        <v>137</v>
      </c>
      <c r="AE57" s="109">
        <f>(((F57)/((AC57*10*4)+(AC53*12*4))))</f>
        <v>2.9123951537744643</v>
      </c>
      <c r="AF57" s="109">
        <f>112/24</f>
        <v>4.666666666666667</v>
      </c>
      <c r="AG57" s="106" t="s">
        <v>182</v>
      </c>
    </row>
    <row r="58" spans="1:33" ht="14.4" x14ac:dyDescent="0.3">
      <c r="A58" s="127" t="s">
        <v>250</v>
      </c>
      <c r="B58" s="3" t="s">
        <v>251</v>
      </c>
      <c r="C58" s="3" t="s">
        <v>252</v>
      </c>
      <c r="D58" s="3" t="s">
        <v>31</v>
      </c>
      <c r="E58" s="19" t="s">
        <v>82</v>
      </c>
      <c r="F58" s="15">
        <v>10800</v>
      </c>
      <c r="G58" s="15">
        <v>11072</v>
      </c>
      <c r="H58" s="2"/>
      <c r="I58" s="2"/>
      <c r="J58" s="2">
        <v>272</v>
      </c>
      <c r="K58" s="2">
        <v>0.95</v>
      </c>
      <c r="L58" s="18">
        <f t="shared" si="14"/>
        <v>2.4566473988439308E-2</v>
      </c>
      <c r="M58" s="26">
        <v>0.8</v>
      </c>
      <c r="N58" s="14">
        <v>46158</v>
      </c>
      <c r="O58" s="80">
        <v>46158</v>
      </c>
      <c r="P58" s="80">
        <v>46167</v>
      </c>
      <c r="Q58" s="95">
        <v>46178</v>
      </c>
      <c r="R58" s="40">
        <f t="shared" si="10"/>
        <v>15</v>
      </c>
      <c r="S58" s="87">
        <v>46212</v>
      </c>
      <c r="T58" s="91">
        <f t="shared" si="15"/>
        <v>25</v>
      </c>
      <c r="U58" s="30">
        <v>46224</v>
      </c>
      <c r="V58" s="41">
        <f t="shared" si="16"/>
        <v>9</v>
      </c>
      <c r="W58" s="31">
        <v>46224</v>
      </c>
      <c r="X58" s="42">
        <f t="shared" si="11"/>
        <v>1</v>
      </c>
      <c r="Y58" s="42">
        <f t="shared" si="12"/>
        <v>47</v>
      </c>
      <c r="Z58" s="97" t="str">
        <f t="shared" si="13"/>
        <v>NO EFICIENTE</v>
      </c>
      <c r="AA58" s="19" t="s">
        <v>51</v>
      </c>
      <c r="AB58" s="19" t="s">
        <v>19</v>
      </c>
      <c r="AC58" s="15">
        <v>72.239999999999995</v>
      </c>
      <c r="AD58" s="3" t="s">
        <v>287</v>
      </c>
      <c r="AE58" s="109">
        <f>(((F58)/((AC58*10*4)+(AC58*12*4))))</f>
        <v>1.6988825128360014</v>
      </c>
      <c r="AF58" s="109">
        <v>5.5</v>
      </c>
      <c r="AG58" s="106"/>
    </row>
    <row r="59" spans="1:33" x14ac:dyDescent="0.25">
      <c r="L59" s="24"/>
      <c r="N59" s="132"/>
      <c r="X59" s="1"/>
      <c r="AA59" s="1"/>
    </row>
    <row r="60" spans="1:33" x14ac:dyDescent="0.25">
      <c r="L60" s="24"/>
      <c r="N60" s="132"/>
      <c r="X60" s="1"/>
      <c r="AA60" s="1"/>
    </row>
    <row r="61" spans="1:33" x14ac:dyDescent="0.25">
      <c r="F61" s="133"/>
      <c r="G61" s="133"/>
      <c r="H61" s="96"/>
      <c r="I61" s="96"/>
      <c r="J61" s="96"/>
      <c r="K61" s="96"/>
      <c r="L61" s="24"/>
      <c r="O61" s="131"/>
      <c r="P61" s="131"/>
      <c r="Q61" s="23"/>
      <c r="R61" s="96"/>
      <c r="S61" s="23"/>
      <c r="T61" s="96"/>
      <c r="U61" s="23"/>
      <c r="V61" s="96"/>
      <c r="W61" s="23"/>
      <c r="X61" s="96"/>
      <c r="Y61" s="96"/>
      <c r="AA61" s="1"/>
      <c r="AB61" s="114"/>
    </row>
    <row r="62" spans="1:33" x14ac:dyDescent="0.25">
      <c r="L62" s="24"/>
      <c r="N62" s="132"/>
      <c r="R62" s="94"/>
      <c r="T62" s="94"/>
      <c r="V62" s="94"/>
      <c r="X62" s="94"/>
      <c r="Y62" s="94"/>
      <c r="AA62" s="1"/>
    </row>
    <row r="63" spans="1:33" x14ac:dyDescent="0.25">
      <c r="L63" s="24"/>
      <c r="N63" s="132"/>
      <c r="R63" s="94"/>
      <c r="X63" s="1"/>
      <c r="AA63" s="1"/>
    </row>
    <row r="64" spans="1:33" x14ac:dyDescent="0.25">
      <c r="G64" s="28"/>
      <c r="L64" s="24"/>
      <c r="N64" s="132"/>
      <c r="V64" s="35"/>
      <c r="X64" s="35"/>
      <c r="Y64" s="35"/>
      <c r="AA64" s="1"/>
    </row>
    <row r="65" spans="12:27" x14ac:dyDescent="0.25">
      <c r="L65" s="24"/>
      <c r="N65" s="132"/>
      <c r="X65" s="1"/>
      <c r="AA65" s="1"/>
    </row>
    <row r="66" spans="12:27" x14ac:dyDescent="0.25">
      <c r="L66" s="24"/>
      <c r="N66" s="132"/>
      <c r="X66" s="1"/>
      <c r="AA66" s="1"/>
    </row>
    <row r="67" spans="12:27" x14ac:dyDescent="0.25">
      <c r="L67" s="24"/>
      <c r="N67" s="132"/>
      <c r="X67" s="1"/>
      <c r="AA67" s="1"/>
    </row>
    <row r="68" spans="12:27" x14ac:dyDescent="0.25">
      <c r="L68" s="24"/>
      <c r="N68" s="132"/>
      <c r="X68" s="1"/>
      <c r="AA68" s="1"/>
    </row>
    <row r="69" spans="12:27" x14ac:dyDescent="0.25">
      <c r="L69" s="24"/>
      <c r="N69" s="132"/>
      <c r="X69" s="1"/>
      <c r="AA69" s="1"/>
    </row>
    <row r="70" spans="12:27" x14ac:dyDescent="0.25">
      <c r="L70" s="24"/>
      <c r="N70" s="132"/>
      <c r="X70" s="1"/>
      <c r="AA70" s="1"/>
    </row>
    <row r="71" spans="12:27" x14ac:dyDescent="0.25">
      <c r="L71" s="24"/>
      <c r="N71" s="132"/>
      <c r="X71" s="1"/>
      <c r="AA71" s="1"/>
    </row>
    <row r="72" spans="12:27" x14ac:dyDescent="0.25">
      <c r="L72" s="24"/>
      <c r="N72" s="132"/>
      <c r="S72" s="16" t="s">
        <v>280</v>
      </c>
      <c r="X72" s="1"/>
      <c r="AA72" s="1"/>
    </row>
    <row r="73" spans="12:27" x14ac:dyDescent="0.25">
      <c r="L73" s="24"/>
      <c r="N73" s="132"/>
      <c r="X73" s="1"/>
      <c r="AA73" s="1"/>
    </row>
    <row r="74" spans="12:27" x14ac:dyDescent="0.25">
      <c r="L74" s="24"/>
      <c r="N74" s="132"/>
      <c r="X74" s="1"/>
      <c r="AA74" s="1"/>
    </row>
    <row r="75" spans="12:27" x14ac:dyDescent="0.25">
      <c r="L75" s="24"/>
      <c r="N75" s="132"/>
      <c r="X75" s="1"/>
      <c r="AA75" s="1"/>
    </row>
    <row r="76" spans="12:27" x14ac:dyDescent="0.25">
      <c r="L76" s="24"/>
      <c r="N76" s="132"/>
      <c r="X76" s="1"/>
      <c r="AA76" s="1"/>
    </row>
    <row r="77" spans="12:27" x14ac:dyDescent="0.25">
      <c r="L77" s="24"/>
      <c r="N77" s="132"/>
      <c r="X77" s="1"/>
      <c r="AA77" s="1"/>
    </row>
    <row r="78" spans="12:27" x14ac:dyDescent="0.25">
      <c r="L78" s="24"/>
      <c r="N78" s="132"/>
      <c r="X78" s="1"/>
      <c r="AA78" s="1"/>
    </row>
    <row r="79" spans="12:27" x14ac:dyDescent="0.25">
      <c r="L79" s="24"/>
      <c r="N79" s="132"/>
      <c r="X79" s="1"/>
      <c r="AA79" s="1"/>
    </row>
    <row r="80" spans="12:27" x14ac:dyDescent="0.25">
      <c r="L80" s="24"/>
      <c r="N80" s="132"/>
      <c r="X80" s="1"/>
      <c r="AA80" s="1"/>
    </row>
    <row r="81" spans="12:27" x14ac:dyDescent="0.25">
      <c r="L81" s="24"/>
      <c r="N81" s="132"/>
      <c r="X81" s="1"/>
      <c r="AA81" s="1"/>
    </row>
    <row r="82" spans="12:27" x14ac:dyDescent="0.25">
      <c r="L82" s="24"/>
      <c r="N82" s="132"/>
      <c r="X82" s="1"/>
      <c r="AA82" s="1"/>
    </row>
    <row r="83" spans="12:27" x14ac:dyDescent="0.25">
      <c r="L83" s="24"/>
      <c r="N83" s="132"/>
      <c r="X83" s="1"/>
      <c r="AA83" s="1"/>
    </row>
    <row r="84" spans="12:27" x14ac:dyDescent="0.25">
      <c r="L84" s="24"/>
      <c r="N84" s="132"/>
      <c r="X84" s="1"/>
      <c r="AA84" s="1"/>
    </row>
    <row r="85" spans="12:27" x14ac:dyDescent="0.25">
      <c r="L85" s="24"/>
      <c r="N85" s="132"/>
      <c r="X85" s="1"/>
      <c r="AA85" s="1"/>
    </row>
    <row r="86" spans="12:27" x14ac:dyDescent="0.25">
      <c r="L86" s="24"/>
      <c r="N86" s="132"/>
      <c r="X86" s="1"/>
      <c r="AA86" s="1"/>
    </row>
    <row r="87" spans="12:27" x14ac:dyDescent="0.25">
      <c r="L87" s="24"/>
      <c r="N87" s="132"/>
      <c r="X87" s="1"/>
      <c r="AA87" s="1"/>
    </row>
    <row r="88" spans="12:27" x14ac:dyDescent="0.25">
      <c r="L88" s="24"/>
      <c r="N88" s="132"/>
      <c r="X88" s="1"/>
      <c r="AA88" s="1"/>
    </row>
    <row r="89" spans="12:27" x14ac:dyDescent="0.25">
      <c r="L89" s="24"/>
      <c r="N89" s="132"/>
      <c r="X89" s="1"/>
      <c r="AA89" s="1"/>
    </row>
    <row r="90" spans="12:27" x14ac:dyDescent="0.25">
      <c r="L90" s="24"/>
      <c r="N90" s="132"/>
      <c r="X90" s="1"/>
      <c r="AA90" s="1"/>
    </row>
    <row r="91" spans="12:27" x14ac:dyDescent="0.25">
      <c r="L91" s="24"/>
      <c r="N91" s="132"/>
      <c r="X91" s="1"/>
      <c r="AA91" s="1"/>
    </row>
    <row r="92" spans="12:27" x14ac:dyDescent="0.25">
      <c r="L92" s="24"/>
      <c r="N92" s="132"/>
      <c r="X92" s="1"/>
      <c r="AA92" s="1"/>
    </row>
    <row r="93" spans="12:27" x14ac:dyDescent="0.25">
      <c r="L93" s="24"/>
      <c r="N93" s="132"/>
      <c r="X93" s="1"/>
      <c r="AA93" s="1"/>
    </row>
    <row r="94" spans="12:27" x14ac:dyDescent="0.25">
      <c r="L94" s="24"/>
      <c r="N94" s="132"/>
      <c r="X94" s="1"/>
      <c r="AA94" s="1"/>
    </row>
    <row r="95" spans="12:27" x14ac:dyDescent="0.25">
      <c r="L95" s="24"/>
      <c r="N95" s="132"/>
      <c r="X95" s="1"/>
      <c r="AA95" s="1"/>
    </row>
    <row r="96" spans="12:27" x14ac:dyDescent="0.25">
      <c r="L96" s="24"/>
      <c r="N96" s="132"/>
      <c r="X96" s="1"/>
      <c r="AA96" s="1"/>
    </row>
    <row r="97" spans="12:27" x14ac:dyDescent="0.25">
      <c r="L97" s="24"/>
      <c r="N97" s="132"/>
      <c r="X97" s="1"/>
      <c r="AA97" s="1"/>
    </row>
    <row r="98" spans="12:27" x14ac:dyDescent="0.25">
      <c r="L98" s="24"/>
      <c r="N98" s="132"/>
      <c r="X98" s="1"/>
      <c r="AA98" s="1"/>
    </row>
    <row r="99" spans="12:27" x14ac:dyDescent="0.25">
      <c r="L99" s="24"/>
      <c r="N99" s="132"/>
      <c r="X99" s="1"/>
      <c r="AA99" s="1"/>
    </row>
    <row r="100" spans="12:27" x14ac:dyDescent="0.25">
      <c r="L100" s="24"/>
      <c r="N100" s="132"/>
      <c r="X100" s="1"/>
      <c r="AA100" s="1"/>
    </row>
    <row r="101" spans="12:27" x14ac:dyDescent="0.25">
      <c r="L101" s="24"/>
      <c r="N101" s="132"/>
      <c r="X101" s="1"/>
      <c r="AA101" s="1"/>
    </row>
    <row r="102" spans="12:27" x14ac:dyDescent="0.25">
      <c r="L102" s="24"/>
      <c r="N102" s="132"/>
      <c r="X102" s="1"/>
      <c r="AA102" s="1"/>
    </row>
    <row r="103" spans="12:27" x14ac:dyDescent="0.25">
      <c r="L103" s="24"/>
      <c r="N103" s="132"/>
      <c r="X103" s="1"/>
      <c r="AA103" s="1"/>
    </row>
    <row r="104" spans="12:27" x14ac:dyDescent="0.25">
      <c r="L104" s="24"/>
      <c r="N104" s="132"/>
      <c r="X104" s="1"/>
      <c r="AA104" s="1"/>
    </row>
    <row r="105" spans="12:27" x14ac:dyDescent="0.25">
      <c r="L105" s="24"/>
      <c r="N105" s="132"/>
      <c r="X105" s="1"/>
      <c r="AA105" s="1"/>
    </row>
    <row r="106" spans="12:27" x14ac:dyDescent="0.25">
      <c r="L106" s="24"/>
      <c r="N106" s="132"/>
      <c r="X106" s="1"/>
      <c r="AA106" s="1"/>
    </row>
    <row r="107" spans="12:27" x14ac:dyDescent="0.25">
      <c r="L107" s="24"/>
      <c r="N107" s="132"/>
      <c r="X107" s="1"/>
      <c r="AA107" s="1"/>
    </row>
    <row r="108" spans="12:27" x14ac:dyDescent="0.25">
      <c r="L108" s="24"/>
      <c r="N108" s="132"/>
      <c r="X108" s="1"/>
      <c r="AA108" s="1"/>
    </row>
    <row r="109" spans="12:27" x14ac:dyDescent="0.25">
      <c r="L109" s="24"/>
      <c r="N109" s="132"/>
      <c r="X109" s="1"/>
      <c r="AA109" s="1"/>
    </row>
    <row r="110" spans="12:27" x14ac:dyDescent="0.25">
      <c r="L110" s="24"/>
      <c r="N110" s="132"/>
      <c r="X110" s="1"/>
      <c r="AA110" s="1"/>
    </row>
    <row r="111" spans="12:27" x14ac:dyDescent="0.25">
      <c r="L111" s="24"/>
      <c r="N111" s="132"/>
      <c r="X111" s="1"/>
      <c r="AA111" s="1"/>
    </row>
    <row r="112" spans="12:27" x14ac:dyDescent="0.25">
      <c r="L112" s="24"/>
      <c r="N112" s="132"/>
      <c r="X112" s="1"/>
      <c r="AA112" s="1"/>
    </row>
    <row r="113" spans="12:27" x14ac:dyDescent="0.25">
      <c r="L113" s="24"/>
      <c r="N113" s="132"/>
      <c r="X113" s="1"/>
      <c r="AA113" s="1"/>
    </row>
    <row r="114" spans="12:27" x14ac:dyDescent="0.25">
      <c r="L114" s="24"/>
      <c r="N114" s="132"/>
      <c r="X114" s="1"/>
      <c r="AA114" s="1"/>
    </row>
    <row r="115" spans="12:27" x14ac:dyDescent="0.25">
      <c r="L115" s="24"/>
      <c r="N115" s="132"/>
      <c r="X115" s="1"/>
      <c r="AA115" s="1"/>
    </row>
    <row r="116" spans="12:27" x14ac:dyDescent="0.25">
      <c r="L116" s="24"/>
      <c r="N116" s="132"/>
      <c r="X116" s="1"/>
      <c r="AA116" s="1"/>
    </row>
    <row r="117" spans="12:27" x14ac:dyDescent="0.25">
      <c r="L117" s="24"/>
      <c r="N117" s="132"/>
      <c r="X117" s="1"/>
      <c r="AA117" s="1"/>
    </row>
    <row r="118" spans="12:27" x14ac:dyDescent="0.25">
      <c r="L118" s="24"/>
      <c r="N118" s="132"/>
      <c r="X118" s="1"/>
      <c r="AA118" s="1"/>
    </row>
    <row r="119" spans="12:27" x14ac:dyDescent="0.25">
      <c r="L119" s="24"/>
      <c r="N119" s="132"/>
      <c r="X119" s="1"/>
      <c r="AA119" s="1"/>
    </row>
    <row r="120" spans="12:27" x14ac:dyDescent="0.25">
      <c r="L120" s="24"/>
      <c r="N120" s="132"/>
      <c r="X120" s="1"/>
      <c r="AA120" s="1"/>
    </row>
    <row r="121" spans="12:27" x14ac:dyDescent="0.25">
      <c r="L121" s="24"/>
      <c r="N121" s="132"/>
      <c r="X121" s="1"/>
      <c r="AA121" s="1"/>
    </row>
    <row r="122" spans="12:27" x14ac:dyDescent="0.25">
      <c r="L122" s="24"/>
      <c r="N122" s="132"/>
      <c r="X122" s="1"/>
      <c r="AA122" s="1"/>
    </row>
    <row r="123" spans="12:27" x14ac:dyDescent="0.25">
      <c r="L123" s="24"/>
      <c r="N123" s="132"/>
      <c r="X123" s="1"/>
      <c r="AA123" s="1"/>
    </row>
    <row r="124" spans="12:27" x14ac:dyDescent="0.25">
      <c r="L124" s="24"/>
      <c r="N124" s="132"/>
      <c r="X124" s="1"/>
      <c r="AA124" s="1"/>
    </row>
    <row r="125" spans="12:27" x14ac:dyDescent="0.25">
      <c r="L125" s="24"/>
      <c r="N125" s="132"/>
      <c r="X125" s="1"/>
      <c r="AA125" s="1"/>
    </row>
    <row r="126" spans="12:27" x14ac:dyDescent="0.25">
      <c r="L126" s="24"/>
      <c r="N126" s="132"/>
      <c r="X126" s="1"/>
      <c r="AA126" s="1"/>
    </row>
    <row r="127" spans="12:27" x14ac:dyDescent="0.25">
      <c r="L127" s="24"/>
      <c r="N127" s="132"/>
      <c r="X127" s="1"/>
      <c r="AA127" s="1"/>
    </row>
    <row r="128" spans="12:27" x14ac:dyDescent="0.25">
      <c r="L128" s="24"/>
      <c r="N128" s="132"/>
      <c r="X128" s="1"/>
      <c r="AA128" s="1"/>
    </row>
    <row r="129" spans="12:27" x14ac:dyDescent="0.25">
      <c r="L129" s="24"/>
      <c r="N129" s="132"/>
      <c r="X129" s="1"/>
      <c r="AA129" s="1"/>
    </row>
    <row r="130" spans="12:27" x14ac:dyDescent="0.25">
      <c r="L130" s="24"/>
      <c r="N130" s="132"/>
      <c r="X130" s="1"/>
      <c r="AA130" s="1"/>
    </row>
    <row r="131" spans="12:27" x14ac:dyDescent="0.25">
      <c r="L131" s="24"/>
      <c r="N131" s="132"/>
      <c r="X131" s="1"/>
      <c r="AA131" s="1"/>
    </row>
    <row r="132" spans="12:27" x14ac:dyDescent="0.25">
      <c r="L132" s="24"/>
      <c r="N132" s="132"/>
      <c r="X132" s="1"/>
      <c r="AA132" s="1"/>
    </row>
    <row r="133" spans="12:27" x14ac:dyDescent="0.25">
      <c r="L133" s="24"/>
      <c r="N133" s="132"/>
      <c r="X133" s="1"/>
      <c r="AA133" s="1"/>
    </row>
    <row r="134" spans="12:27" x14ac:dyDescent="0.25">
      <c r="L134" s="24"/>
      <c r="N134" s="132"/>
      <c r="X134" s="1"/>
      <c r="AA134" s="1"/>
    </row>
    <row r="135" spans="12:27" x14ac:dyDescent="0.25">
      <c r="L135" s="24"/>
      <c r="N135" s="132"/>
      <c r="X135" s="1"/>
      <c r="AA135" s="1"/>
    </row>
    <row r="136" spans="12:27" x14ac:dyDescent="0.25">
      <c r="L136" s="24"/>
      <c r="N136" s="132"/>
      <c r="X136" s="1"/>
      <c r="AA136" s="1"/>
    </row>
    <row r="137" spans="12:27" x14ac:dyDescent="0.25">
      <c r="L137" s="24"/>
      <c r="N137" s="132"/>
      <c r="X137" s="1"/>
      <c r="AA137" s="1"/>
    </row>
    <row r="138" spans="12:27" x14ac:dyDescent="0.25">
      <c r="L138" s="24"/>
      <c r="N138" s="132"/>
      <c r="X138" s="1"/>
      <c r="AA138" s="1"/>
    </row>
    <row r="139" spans="12:27" x14ac:dyDescent="0.25">
      <c r="L139" s="24"/>
      <c r="N139" s="132"/>
      <c r="X139" s="1"/>
      <c r="AA139" s="1"/>
    </row>
    <row r="140" spans="12:27" x14ac:dyDescent="0.25">
      <c r="L140" s="24"/>
      <c r="N140" s="132"/>
      <c r="X140" s="1"/>
      <c r="AA140" s="1"/>
    </row>
    <row r="141" spans="12:27" x14ac:dyDescent="0.25">
      <c r="L141" s="24"/>
      <c r="N141" s="132"/>
      <c r="X141" s="1"/>
      <c r="AA141" s="1"/>
    </row>
    <row r="142" spans="12:27" x14ac:dyDescent="0.25">
      <c r="L142" s="24"/>
      <c r="N142" s="132"/>
      <c r="X142" s="1"/>
      <c r="AA142" s="1"/>
    </row>
    <row r="143" spans="12:27" x14ac:dyDescent="0.25">
      <c r="L143" s="24"/>
      <c r="N143" s="132"/>
      <c r="X143" s="1"/>
      <c r="AA143" s="1"/>
    </row>
    <row r="144" spans="12:27" x14ac:dyDescent="0.25">
      <c r="L144" s="24"/>
      <c r="N144" s="132"/>
      <c r="X144" s="1"/>
      <c r="AA144" s="1"/>
    </row>
    <row r="145" spans="12:27" x14ac:dyDescent="0.25">
      <c r="L145" s="24"/>
      <c r="N145" s="132"/>
      <c r="X145" s="1"/>
      <c r="AA145" s="1"/>
    </row>
    <row r="146" spans="12:27" x14ac:dyDescent="0.25">
      <c r="L146" s="24"/>
      <c r="N146" s="132"/>
      <c r="X146" s="1"/>
      <c r="AA146" s="1"/>
    </row>
    <row r="147" spans="12:27" x14ac:dyDescent="0.25">
      <c r="L147" s="24"/>
      <c r="N147" s="132"/>
      <c r="X147" s="1"/>
      <c r="AA147" s="1"/>
    </row>
    <row r="148" spans="12:27" x14ac:dyDescent="0.25">
      <c r="L148" s="24"/>
      <c r="N148" s="132"/>
      <c r="X148" s="1"/>
      <c r="AA148" s="1"/>
    </row>
    <row r="149" spans="12:27" x14ac:dyDescent="0.25">
      <c r="L149" s="24"/>
      <c r="N149" s="132"/>
      <c r="X149" s="1"/>
      <c r="AA149" s="1"/>
    </row>
    <row r="150" spans="12:27" x14ac:dyDescent="0.25">
      <c r="L150" s="24"/>
      <c r="N150" s="132"/>
      <c r="X150" s="1"/>
      <c r="AA150" s="1"/>
    </row>
    <row r="151" spans="12:27" x14ac:dyDescent="0.25">
      <c r="L151" s="24"/>
      <c r="N151" s="132"/>
      <c r="X151" s="1"/>
      <c r="AA151" s="1"/>
    </row>
    <row r="152" spans="12:27" x14ac:dyDescent="0.25">
      <c r="L152" s="24"/>
      <c r="N152" s="132"/>
      <c r="X152" s="1"/>
      <c r="AA152" s="1"/>
    </row>
    <row r="153" spans="12:27" x14ac:dyDescent="0.25">
      <c r="L153" s="24"/>
      <c r="N153" s="132"/>
      <c r="X153" s="1"/>
      <c r="AA153" s="1"/>
    </row>
    <row r="154" spans="12:27" x14ac:dyDescent="0.25">
      <c r="L154" s="24"/>
      <c r="N154" s="132"/>
      <c r="X154" s="1"/>
      <c r="AA154" s="1"/>
    </row>
    <row r="155" spans="12:27" x14ac:dyDescent="0.25">
      <c r="L155" s="24"/>
      <c r="N155" s="132"/>
      <c r="X155" s="1"/>
      <c r="AA155" s="1"/>
    </row>
    <row r="156" spans="12:27" x14ac:dyDescent="0.25">
      <c r="L156" s="24"/>
      <c r="N156" s="132"/>
      <c r="X156" s="1"/>
      <c r="AA156" s="1"/>
    </row>
    <row r="157" spans="12:27" x14ac:dyDescent="0.25">
      <c r="L157" s="24"/>
      <c r="N157" s="132"/>
      <c r="X157" s="1"/>
      <c r="AA157" s="1"/>
    </row>
    <row r="158" spans="12:27" x14ac:dyDescent="0.25">
      <c r="L158" s="24"/>
      <c r="N158" s="132"/>
      <c r="X158" s="1"/>
      <c r="AA158" s="1"/>
    </row>
    <row r="159" spans="12:27" x14ac:dyDescent="0.25">
      <c r="L159" s="24"/>
      <c r="N159" s="132"/>
      <c r="X159" s="1"/>
      <c r="AA159" s="1"/>
    </row>
    <row r="160" spans="12:27" x14ac:dyDescent="0.25">
      <c r="L160" s="24"/>
      <c r="N160" s="132"/>
      <c r="X160" s="1"/>
      <c r="AA160" s="1"/>
    </row>
  </sheetData>
  <autoFilter ref="A2:BB58" xr:uid="{00000000-0001-0000-0000-000000000000}"/>
  <sortState xmlns:xlrd2="http://schemas.microsoft.com/office/spreadsheetml/2017/richdata2" ref="A3:AG50">
    <sortCondition sortBy="cellColor" ref="M3:M50" dxfId="154"/>
    <sortCondition sortBy="cellColor" ref="AA3:AA50" dxfId="153"/>
    <sortCondition descending="1" sortBy="cellColor" ref="Z3:Z50" dxfId="152"/>
    <sortCondition sortBy="cellColor" ref="Z3:Z50" dxfId="151"/>
    <sortCondition sortBy="cellColor" ref="M3:M50" dxfId="150"/>
  </sortState>
  <mergeCells count="4">
    <mergeCell ref="Q1:R1"/>
    <mergeCell ref="S1:T1"/>
    <mergeCell ref="U1:V1"/>
    <mergeCell ref="W1:Y1"/>
  </mergeCells>
  <conditionalFormatting sqref="M52">
    <cfRule type="cellIs" dxfId="149" priority="516" operator="between">
      <formula>0.69</formula>
      <formula>0</formula>
    </cfRule>
    <cfRule type="cellIs" dxfId="148" priority="517" operator="between">
      <formula>0.7</formula>
      <formula>0.79</formula>
    </cfRule>
    <cfRule type="cellIs" dxfId="147" priority="518" operator="between">
      <formula>0.79</formula>
      <formula>"&gt;=1"</formula>
    </cfRule>
  </conditionalFormatting>
  <conditionalFormatting sqref="AD52">
    <cfRule type="containsText" dxfId="146" priority="510" operator="containsText" text="NO EFICIENTE">
      <formula>NOT(ISERROR(SEARCH("NO EFICIENTE",AD52)))</formula>
    </cfRule>
    <cfRule type="containsText" dxfId="145" priority="511" operator="containsText" text="EFICIENTE">
      <formula>NOT(ISERROR(SEARCH("EFICIENTE",AD52)))</formula>
    </cfRule>
    <cfRule type="containsText" dxfId="144" priority="512" operator="containsText" text="&quot;EFICIENTE&quot;">
      <formula>NOT(ISERROR(SEARCH("""EFICIENTE""",AD52)))</formula>
    </cfRule>
  </conditionalFormatting>
  <conditionalFormatting sqref="M7">
    <cfRule type="cellIs" dxfId="143" priority="500" operator="between">
      <formula>0.69</formula>
      <formula>0</formula>
    </cfRule>
    <cfRule type="cellIs" dxfId="142" priority="501" operator="between">
      <formula>0.7</formula>
      <formula>0.79</formula>
    </cfRule>
    <cfRule type="cellIs" dxfId="141" priority="502" operator="between">
      <formula>0.79</formula>
      <formula>"&gt;=1"</formula>
    </cfRule>
  </conditionalFormatting>
  <conditionalFormatting sqref="M8">
    <cfRule type="cellIs" dxfId="140" priority="484" operator="between">
      <formula>0.69</formula>
      <formula>0</formula>
    </cfRule>
    <cfRule type="cellIs" dxfId="139" priority="485" operator="between">
      <formula>0.7</formula>
      <formula>0.79</formula>
    </cfRule>
    <cfRule type="cellIs" dxfId="138" priority="486" operator="between">
      <formula>0.79</formula>
      <formula>"&gt;=1"</formula>
    </cfRule>
  </conditionalFormatting>
  <conditionalFormatting sqref="M11">
    <cfRule type="cellIs" dxfId="137" priority="435" operator="between">
      <formula>0.69</formula>
      <formula>0</formula>
    </cfRule>
    <cfRule type="cellIs" dxfId="136" priority="436" operator="between">
      <formula>0.7</formula>
      <formula>0.79</formula>
    </cfRule>
    <cfRule type="cellIs" dxfId="135" priority="437" operator="between">
      <formula>0.79</formula>
      <formula>"&gt;=1"</formula>
    </cfRule>
  </conditionalFormatting>
  <conditionalFormatting sqref="M12">
    <cfRule type="cellIs" dxfId="134" priority="416" operator="between">
      <formula>0.69</formula>
      <formula>0</formula>
    </cfRule>
    <cfRule type="cellIs" dxfId="133" priority="417" operator="between">
      <formula>0.7</formula>
      <formula>0.79</formula>
    </cfRule>
    <cfRule type="cellIs" dxfId="132" priority="418" operator="between">
      <formula>0.79</formula>
      <formula>"&gt;=1"</formula>
    </cfRule>
  </conditionalFormatting>
  <conditionalFormatting sqref="AA161:AA1048576 AA2:AA12 AA15:AA17 AA52 AA56:AA58 AA37:AA38 AA41 AA43:AA49 AA19:AA35">
    <cfRule type="containsText" dxfId="131" priority="404" operator="containsText" text="ACA">
      <formula>NOT(ISERROR(SEARCH("ACA",AA2)))</formula>
    </cfRule>
    <cfRule type="containsText" dxfId="130" priority="405" operator="containsText" text="TER">
      <formula>NOT(ISERROR(SEARCH("TER",AA2)))</formula>
    </cfRule>
    <cfRule type="containsText" dxfId="129" priority="406" operator="containsText" text="MON">
      <formula>NOT(ISERROR(SEARCH("MON",AA2)))</formula>
    </cfRule>
    <cfRule type="containsText" dxfId="128" priority="407" operator="containsText" text="TEJE">
      <formula>NOT(ISERROR(SEARCH("TEJE",AA2)))</formula>
    </cfRule>
    <cfRule type="containsText" dxfId="127" priority="408" operator="containsText" text="CA">
      <formula>NOT(ISERROR(SEARCH("CA",AA2)))</formula>
    </cfRule>
  </conditionalFormatting>
  <conditionalFormatting sqref="M161:M1048576 M2:M12 M15:M17 M52 M56:M58 M37:M38 M41 M43:M49 M19:M35">
    <cfRule type="cellIs" dxfId="126" priority="399" operator="between">
      <formula>0.69</formula>
      <formula>0</formula>
    </cfRule>
    <cfRule type="cellIs" dxfId="125" priority="400" operator="between">
      <formula>0.79</formula>
      <formula>1</formula>
    </cfRule>
    <cfRule type="cellIs" dxfId="124" priority="401" operator="between">
      <formula>0.69</formula>
      <formula>0.79</formula>
    </cfRule>
  </conditionalFormatting>
  <conditionalFormatting sqref="Z1 Z59:Z1048576">
    <cfRule type="containsText" dxfId="123" priority="397" operator="containsText" text="NO EFI">
      <formula>NOT(ISERROR(SEARCH("NO EFI",Z1)))</formula>
    </cfRule>
    <cfRule type="containsText" dxfId="122" priority="398" operator="containsText" text="EFI">
      <formula>NOT(ISERROR(SEARCH("EFI",Z1)))</formula>
    </cfRule>
  </conditionalFormatting>
  <conditionalFormatting sqref="AA13:AA17 AA34">
    <cfRule type="containsText" dxfId="121" priority="372" operator="containsText" text="ACA">
      <formula>NOT(ISERROR(SEARCH("ACA",AA13)))</formula>
    </cfRule>
    <cfRule type="containsText" dxfId="120" priority="373" operator="containsText" text="TER">
      <formula>NOT(ISERROR(SEARCH("TER",AA13)))</formula>
    </cfRule>
    <cfRule type="containsText" dxfId="119" priority="374" operator="containsText" text="MON">
      <formula>NOT(ISERROR(SEARCH("MON",AA13)))</formula>
    </cfRule>
    <cfRule type="containsText" dxfId="118" priority="375" operator="containsText" text="TEJE">
      <formula>NOT(ISERROR(SEARCH("TEJE",AA13)))</formula>
    </cfRule>
    <cfRule type="containsText" dxfId="117" priority="376" operator="containsText" text="CA">
      <formula>NOT(ISERROR(SEARCH("CA",AA13)))</formula>
    </cfRule>
  </conditionalFormatting>
  <conditionalFormatting sqref="M13:M17 M34">
    <cfRule type="cellIs" dxfId="116" priority="369" operator="between">
      <formula>0.69</formula>
      <formula>0</formula>
    </cfRule>
    <cfRule type="cellIs" dxfId="115" priority="370" operator="between">
      <formula>0.79</formula>
      <formula>1</formula>
    </cfRule>
    <cfRule type="cellIs" dxfId="114" priority="371" operator="between">
      <formula>0.69</formula>
      <formula>0.79</formula>
    </cfRule>
  </conditionalFormatting>
  <conditionalFormatting sqref="Z2">
    <cfRule type="containsText" dxfId="113" priority="322" operator="containsText" text="ACA">
      <formula>NOT(ISERROR(SEARCH("ACA",Z2)))</formula>
    </cfRule>
    <cfRule type="containsText" dxfId="112" priority="323" operator="containsText" text="TER">
      <formula>NOT(ISERROR(SEARCH("TER",Z2)))</formula>
    </cfRule>
    <cfRule type="containsText" dxfId="111" priority="324" operator="containsText" text="MON">
      <formula>NOT(ISERROR(SEARCH("MON",Z2)))</formula>
    </cfRule>
    <cfRule type="containsText" dxfId="110" priority="325" operator="containsText" text="TEJE">
      <formula>NOT(ISERROR(SEARCH("TEJE",Z2)))</formula>
    </cfRule>
    <cfRule type="containsText" dxfId="109" priority="326" operator="containsText" text="CA">
      <formula>NOT(ISERROR(SEARCH("CA",Z2)))</formula>
    </cfRule>
  </conditionalFormatting>
  <conditionalFormatting sqref="Z59:Z1048576 Z37:Z39 Z41 Z48:Z49 Z43:Z44 Z1:Z35">
    <cfRule type="containsText" dxfId="108" priority="318" operator="containsText" text="NO EFICIENTE">
      <formula>NOT(ISERROR(SEARCH("NO EFICIENTE",Z1)))</formula>
    </cfRule>
    <cfRule type="containsText" dxfId="107" priority="319" operator="containsText" text="EFICIENTE">
      <formula>NOT(ISERROR(SEARCH("EFICIENTE",Z1)))</formula>
    </cfRule>
    <cfRule type="containsText" dxfId="106" priority="320" operator="containsText" text="NO">
      <formula>NOT(ISERROR(SEARCH("NO",Z1)))</formula>
    </cfRule>
    <cfRule type="containsText" dxfId="105" priority="321" operator="containsText" text="EFICIENTE">
      <formula>NOT(ISERROR(SEARCH("EFICIENTE",Z1)))</formula>
    </cfRule>
  </conditionalFormatting>
  <conditionalFormatting sqref="AA29">
    <cfRule type="containsText" dxfId="104" priority="305" operator="containsText" text="ACA">
      <formula>NOT(ISERROR(SEARCH("ACA",AA29)))</formula>
    </cfRule>
    <cfRule type="containsText" dxfId="103" priority="306" operator="containsText" text="TER">
      <formula>NOT(ISERROR(SEARCH("TER",AA29)))</formula>
    </cfRule>
    <cfRule type="containsText" dxfId="102" priority="307" operator="containsText" text="MON">
      <formula>NOT(ISERROR(SEARCH("MON",AA29)))</formula>
    </cfRule>
    <cfRule type="containsText" dxfId="101" priority="308" operator="containsText" text="TEJE">
      <formula>NOT(ISERROR(SEARCH("TEJE",AA29)))</formula>
    </cfRule>
    <cfRule type="containsText" dxfId="100" priority="309" operator="containsText" text="CA">
      <formula>NOT(ISERROR(SEARCH("CA",AA29)))</formula>
    </cfRule>
  </conditionalFormatting>
  <conditionalFormatting sqref="M29">
    <cfRule type="cellIs" dxfId="99" priority="302" operator="between">
      <formula>0.69</formula>
      <formula>0</formula>
    </cfRule>
    <cfRule type="cellIs" dxfId="98" priority="303" operator="between">
      <formula>0.79</formula>
      <formula>1</formula>
    </cfRule>
    <cfRule type="cellIs" dxfId="97" priority="304" operator="between">
      <formula>0.69</formula>
      <formula>0.79</formula>
    </cfRule>
  </conditionalFormatting>
  <conditionalFormatting sqref="Z29">
    <cfRule type="containsText" dxfId="96" priority="298" operator="containsText" text="NO EFICIENTE">
      <formula>NOT(ISERROR(SEARCH("NO EFICIENTE",Z29)))</formula>
    </cfRule>
    <cfRule type="containsText" dxfId="95" priority="299" operator="containsText" text="EFICIENTE">
      <formula>NOT(ISERROR(SEARCH("EFICIENTE",Z29)))</formula>
    </cfRule>
    <cfRule type="containsText" dxfId="94" priority="300" operator="containsText" text="NO">
      <formula>NOT(ISERROR(SEARCH("NO",Z29)))</formula>
    </cfRule>
    <cfRule type="containsText" dxfId="93" priority="301" operator="containsText" text="EFICIENTE">
      <formula>NOT(ISERROR(SEARCH("EFICIENTE",Z29)))</formula>
    </cfRule>
  </conditionalFormatting>
  <conditionalFormatting sqref="Z52:Z58 Z48 Z44">
    <cfRule type="containsText" dxfId="92" priority="224" operator="containsText" text="NO">
      <formula>NOT(ISERROR(SEARCH("NO",Z44)))</formula>
    </cfRule>
    <cfRule type="containsText" dxfId="91" priority="225" operator="containsText" text="EFICIENTE">
      <formula>NOT(ISERROR(SEARCH("EFICIENTE",Z44)))</formula>
    </cfRule>
  </conditionalFormatting>
  <conditionalFormatting sqref="Z45:Z47">
    <cfRule type="containsText" dxfId="90" priority="204" operator="containsText" text="NO EFICIENTE">
      <formula>NOT(ISERROR(SEARCH("NO EFICIENTE",Z45)))</formula>
    </cfRule>
    <cfRule type="containsText" dxfId="89" priority="205" operator="containsText" text="EFICIENTE">
      <formula>NOT(ISERROR(SEARCH("EFICIENTE",Z45)))</formula>
    </cfRule>
    <cfRule type="containsText" dxfId="88" priority="206" operator="containsText" text="NO">
      <formula>NOT(ISERROR(SEARCH("NO",Z45)))</formula>
    </cfRule>
    <cfRule type="containsText" dxfId="87" priority="207" operator="containsText" text="EFICIENTE">
      <formula>NOT(ISERROR(SEARCH("EFICIENTE",Z45)))</formula>
    </cfRule>
  </conditionalFormatting>
  <conditionalFormatting sqref="AA39">
    <cfRule type="containsText" dxfId="86" priority="179" operator="containsText" text="ACA">
      <formula>NOT(ISERROR(SEARCH("ACA",AA39)))</formula>
    </cfRule>
    <cfRule type="containsText" dxfId="85" priority="180" operator="containsText" text="TER">
      <formula>NOT(ISERROR(SEARCH("TER",AA39)))</formula>
    </cfRule>
    <cfRule type="containsText" dxfId="84" priority="181" operator="containsText" text="MON">
      <formula>NOT(ISERROR(SEARCH("MON",AA39)))</formula>
    </cfRule>
    <cfRule type="containsText" dxfId="83" priority="182" operator="containsText" text="TEJE">
      <formula>NOT(ISERROR(SEARCH("TEJE",AA39)))</formula>
    </cfRule>
    <cfRule type="containsText" dxfId="82" priority="183" operator="containsText" text="CA">
      <formula>NOT(ISERROR(SEARCH("CA",AA39)))</formula>
    </cfRule>
  </conditionalFormatting>
  <conditionalFormatting sqref="M39">
    <cfRule type="cellIs" dxfId="81" priority="176" operator="between">
      <formula>0.69</formula>
      <formula>0</formula>
    </cfRule>
    <cfRule type="cellIs" dxfId="80" priority="177" operator="between">
      <formula>0.79</formula>
      <formula>1</formula>
    </cfRule>
    <cfRule type="cellIs" dxfId="79" priority="178" operator="between">
      <formula>0.69</formula>
      <formula>0.79</formula>
    </cfRule>
  </conditionalFormatting>
  <conditionalFormatting sqref="AA22:AA23">
    <cfRule type="containsText" dxfId="78" priority="155" operator="containsText" text="ACA">
      <formula>NOT(ISERROR(SEARCH("ACA",AA22)))</formula>
    </cfRule>
    <cfRule type="containsText" dxfId="77" priority="156" operator="containsText" text="TER">
      <formula>NOT(ISERROR(SEARCH("TER",AA22)))</formula>
    </cfRule>
    <cfRule type="containsText" dxfId="76" priority="157" operator="containsText" text="MON">
      <formula>NOT(ISERROR(SEARCH("MON",AA22)))</formula>
    </cfRule>
    <cfRule type="containsText" dxfId="75" priority="158" operator="containsText" text="TEJE">
      <formula>NOT(ISERROR(SEARCH("TEJE",AA22)))</formula>
    </cfRule>
    <cfRule type="containsText" dxfId="74" priority="159" operator="containsText" text="CA">
      <formula>NOT(ISERROR(SEARCH("CA",AA22)))</formula>
    </cfRule>
  </conditionalFormatting>
  <conditionalFormatting sqref="M22:M23">
    <cfRule type="cellIs" dxfId="73" priority="152" operator="between">
      <formula>0.69</formula>
      <formula>0</formula>
    </cfRule>
    <cfRule type="cellIs" dxfId="72" priority="153" operator="between">
      <formula>0.79</formula>
      <formula>1</formula>
    </cfRule>
    <cfRule type="cellIs" dxfId="71" priority="154" operator="between">
      <formula>0.69</formula>
      <formula>0.79</formula>
    </cfRule>
  </conditionalFormatting>
  <conditionalFormatting sqref="AA53:AA55">
    <cfRule type="containsText" dxfId="70" priority="131" operator="containsText" text="ACA">
      <formula>NOT(ISERROR(SEARCH("ACA",AA53)))</formula>
    </cfRule>
    <cfRule type="containsText" dxfId="69" priority="132" operator="containsText" text="TER">
      <formula>NOT(ISERROR(SEARCH("TER",AA53)))</formula>
    </cfRule>
    <cfRule type="containsText" dxfId="68" priority="133" operator="containsText" text="MON">
      <formula>NOT(ISERROR(SEARCH("MON",AA53)))</formula>
    </cfRule>
    <cfRule type="containsText" dxfId="67" priority="134" operator="containsText" text="TEJE">
      <formula>NOT(ISERROR(SEARCH("TEJE",AA53)))</formula>
    </cfRule>
    <cfRule type="containsText" dxfId="66" priority="135" operator="containsText" text="CA">
      <formula>NOT(ISERROR(SEARCH("CA",AA53)))</formula>
    </cfRule>
  </conditionalFormatting>
  <conditionalFormatting sqref="M53:M55">
    <cfRule type="cellIs" dxfId="65" priority="128" operator="between">
      <formula>0.69</formula>
      <formula>0</formula>
    </cfRule>
    <cfRule type="cellIs" dxfId="64" priority="129" operator="between">
      <formula>0.79</formula>
      <formula>1</formula>
    </cfRule>
    <cfRule type="cellIs" dxfId="63" priority="130" operator="between">
      <formula>0.69</formula>
      <formula>0.79</formula>
    </cfRule>
  </conditionalFormatting>
  <conditionalFormatting sqref="AA36">
    <cfRule type="containsText" dxfId="62" priority="119" operator="containsText" text="ACA">
      <formula>NOT(ISERROR(SEARCH("ACA",AA36)))</formula>
    </cfRule>
    <cfRule type="containsText" dxfId="61" priority="120" operator="containsText" text="TER">
      <formula>NOT(ISERROR(SEARCH("TER",AA36)))</formula>
    </cfRule>
    <cfRule type="containsText" dxfId="60" priority="121" operator="containsText" text="MON">
      <formula>NOT(ISERROR(SEARCH("MON",AA36)))</formula>
    </cfRule>
    <cfRule type="containsText" dxfId="59" priority="122" operator="containsText" text="TEJE">
      <formula>NOT(ISERROR(SEARCH("TEJE",AA36)))</formula>
    </cfRule>
    <cfRule type="containsText" dxfId="58" priority="123" operator="containsText" text="CA">
      <formula>NOT(ISERROR(SEARCH("CA",AA36)))</formula>
    </cfRule>
  </conditionalFormatting>
  <conditionalFormatting sqref="M36">
    <cfRule type="cellIs" dxfId="57" priority="116" operator="between">
      <formula>0.69</formula>
      <formula>0</formula>
    </cfRule>
    <cfRule type="cellIs" dxfId="56" priority="117" operator="between">
      <formula>0.79</formula>
      <formula>1</formula>
    </cfRule>
    <cfRule type="cellIs" dxfId="55" priority="118" operator="between">
      <formula>0.69</formula>
      <formula>0.79</formula>
    </cfRule>
  </conditionalFormatting>
  <conditionalFormatting sqref="Z36">
    <cfRule type="containsText" dxfId="54" priority="112" operator="containsText" text="NO EFICIENTE">
      <formula>NOT(ISERROR(SEARCH("NO EFICIENTE",Z36)))</formula>
    </cfRule>
    <cfRule type="containsText" dxfId="53" priority="113" operator="containsText" text="EFICIENTE">
      <formula>NOT(ISERROR(SEARCH("EFICIENTE",Z36)))</formula>
    </cfRule>
    <cfRule type="containsText" dxfId="52" priority="114" operator="containsText" text="NO">
      <formula>NOT(ISERROR(SEARCH("NO",Z36)))</formula>
    </cfRule>
    <cfRule type="containsText" dxfId="51" priority="115" operator="containsText" text="EFICIENTE">
      <formula>NOT(ISERROR(SEARCH("EFICIENTE",Z36)))</formula>
    </cfRule>
  </conditionalFormatting>
  <conditionalFormatting sqref="AA18">
    <cfRule type="containsText" dxfId="50" priority="99" operator="containsText" text="ACA">
      <formula>NOT(ISERROR(SEARCH("ACA",AA18)))</formula>
    </cfRule>
    <cfRule type="containsText" dxfId="49" priority="100" operator="containsText" text="TER">
      <formula>NOT(ISERROR(SEARCH("TER",AA18)))</formula>
    </cfRule>
    <cfRule type="containsText" dxfId="48" priority="101" operator="containsText" text="MON">
      <formula>NOT(ISERROR(SEARCH("MON",AA18)))</formula>
    </cfRule>
    <cfRule type="containsText" dxfId="47" priority="102" operator="containsText" text="TEJE">
      <formula>NOT(ISERROR(SEARCH("TEJE",AA18)))</formula>
    </cfRule>
    <cfRule type="containsText" dxfId="46" priority="103" operator="containsText" text="CA">
      <formula>NOT(ISERROR(SEARCH("CA",AA18)))</formula>
    </cfRule>
  </conditionalFormatting>
  <conditionalFormatting sqref="M18">
    <cfRule type="cellIs" dxfId="45" priority="96" operator="between">
      <formula>0.69</formula>
      <formula>0</formula>
    </cfRule>
    <cfRule type="cellIs" dxfId="44" priority="97" operator="between">
      <formula>0.79</formula>
      <formula>1</formula>
    </cfRule>
    <cfRule type="cellIs" dxfId="43" priority="98" operator="between">
      <formula>0.69</formula>
      <formula>0.79</formula>
    </cfRule>
  </conditionalFormatting>
  <conditionalFormatting sqref="M40:M41">
    <cfRule type="cellIs" dxfId="42" priority="77" operator="between">
      <formula>0.69</formula>
      <formula>0</formula>
    </cfRule>
    <cfRule type="cellIs" dxfId="41" priority="78" operator="between">
      <formula>0.79</formula>
      <formula>1</formula>
    </cfRule>
    <cfRule type="cellIs" dxfId="40" priority="79" operator="between">
      <formula>0.69</formula>
      <formula>0.79</formula>
    </cfRule>
  </conditionalFormatting>
  <conditionalFormatting sqref="Z40:Z41">
    <cfRule type="containsText" dxfId="39" priority="73" operator="containsText" text="NO EFICIENTE">
      <formula>NOT(ISERROR(SEARCH("NO EFICIENTE",Z40)))</formula>
    </cfRule>
    <cfRule type="containsText" dxfId="38" priority="74" operator="containsText" text="EFICIENTE">
      <formula>NOT(ISERROR(SEARCH("EFICIENTE",Z40)))</formula>
    </cfRule>
    <cfRule type="containsText" dxfId="37" priority="75" operator="containsText" text="NO">
      <formula>NOT(ISERROR(SEARCH("NO",Z40)))</formula>
    </cfRule>
    <cfRule type="containsText" dxfId="36" priority="76" operator="containsText" text="EFICIENTE">
      <formula>NOT(ISERROR(SEARCH("EFICIENTE",Z40)))</formula>
    </cfRule>
  </conditionalFormatting>
  <conditionalFormatting sqref="AA40:AA41">
    <cfRule type="containsText" dxfId="35" priority="68" operator="containsText" text="terminado">
      <formula>NOT(ISERROR(SEARCH("terminado",AA40)))</formula>
    </cfRule>
    <cfRule type="containsText" dxfId="34" priority="69" operator="containsText" text="acabados">
      <formula>NOT(ISERROR(SEARCH("acabados",AA40)))</formula>
    </cfRule>
    <cfRule type="containsText" dxfId="33" priority="70" operator="containsText" text="ca">
      <formula>NOT(ISERROR(SEARCH("ca",AA40)))</formula>
    </cfRule>
    <cfRule type="containsText" dxfId="32" priority="71" operator="containsText" text="mon">
      <formula>NOT(ISERROR(SEARCH("mon",AA40)))</formula>
    </cfRule>
    <cfRule type="containsText" dxfId="31" priority="72" operator="containsText" text="teje">
      <formula>NOT(ISERROR(SEARCH("teje",AA40)))</formula>
    </cfRule>
  </conditionalFormatting>
  <conditionalFormatting sqref="AA54:AA55">
    <cfRule type="containsText" dxfId="30" priority="53" operator="containsText" text="ACA">
      <formula>NOT(ISERROR(SEARCH("ACA",AA54)))</formula>
    </cfRule>
    <cfRule type="containsText" dxfId="29" priority="54" operator="containsText" text="TER">
      <formula>NOT(ISERROR(SEARCH("TER",AA54)))</formula>
    </cfRule>
    <cfRule type="containsText" dxfId="28" priority="55" operator="containsText" text="MON">
      <formula>NOT(ISERROR(SEARCH("MON",AA54)))</formula>
    </cfRule>
    <cfRule type="containsText" dxfId="27" priority="56" operator="containsText" text="TEJE">
      <formula>NOT(ISERROR(SEARCH("TEJE",AA54)))</formula>
    </cfRule>
    <cfRule type="containsText" dxfId="26" priority="57" operator="containsText" text="CA">
      <formula>NOT(ISERROR(SEARCH("CA",AA54)))</formula>
    </cfRule>
  </conditionalFormatting>
  <conditionalFormatting sqref="M54">
    <cfRule type="cellIs" dxfId="25" priority="50" operator="between">
      <formula>0.69</formula>
      <formula>0</formula>
    </cfRule>
    <cfRule type="cellIs" dxfId="24" priority="51" operator="between">
      <formula>0.79</formula>
      <formula>1</formula>
    </cfRule>
    <cfRule type="cellIs" dxfId="23" priority="52" operator="between">
      <formula>0.69</formula>
      <formula>0.79</formula>
    </cfRule>
  </conditionalFormatting>
  <conditionalFormatting sqref="M55">
    <cfRule type="cellIs" dxfId="22" priority="47" operator="between">
      <formula>0.69</formula>
      <formula>0</formula>
    </cfRule>
    <cfRule type="cellIs" dxfId="21" priority="48" operator="between">
      <formula>0.79</formula>
      <formula>1</formula>
    </cfRule>
    <cfRule type="cellIs" dxfId="20" priority="49" operator="between">
      <formula>0.69</formula>
      <formula>0.79</formula>
    </cfRule>
  </conditionalFormatting>
  <conditionalFormatting sqref="Z46">
    <cfRule type="containsText" dxfId="19" priority="45" operator="containsText" text="NO">
      <formula>NOT(ISERROR(SEARCH("NO",Z46)))</formula>
    </cfRule>
    <cfRule type="containsText" dxfId="18" priority="46" operator="containsText" text="EFICIENTE">
      <formula>NOT(ISERROR(SEARCH("EFICIENTE",Z46)))</formula>
    </cfRule>
  </conditionalFormatting>
  <conditionalFormatting sqref="Z47">
    <cfRule type="containsText" dxfId="17" priority="43" operator="containsText" text="NO">
      <formula>NOT(ISERROR(SEARCH("NO",Z47)))</formula>
    </cfRule>
    <cfRule type="containsText" dxfId="16" priority="44" operator="containsText" text="EFICIENTE">
      <formula>NOT(ISERROR(SEARCH("EFICIENTE",Z47)))</formula>
    </cfRule>
  </conditionalFormatting>
  <conditionalFormatting sqref="Z43:Z44">
    <cfRule type="containsText" dxfId="15" priority="39" operator="containsText" text="NO">
      <formula>NOT(ISERROR(SEARCH("NO",Z43)))</formula>
    </cfRule>
    <cfRule type="containsText" dxfId="14" priority="40" operator="containsText" text="EFICIENTE">
      <formula>NOT(ISERROR(SEARCH("EFICIENTE",Z43)))</formula>
    </cfRule>
  </conditionalFormatting>
  <conditionalFormatting sqref="Z45">
    <cfRule type="containsText" dxfId="13" priority="37" operator="containsText" text="NO">
      <formula>NOT(ISERROR(SEARCH("NO",Z45)))</formula>
    </cfRule>
    <cfRule type="containsText" dxfId="12" priority="38" operator="containsText" text="EFICIENTE">
      <formula>NOT(ISERROR(SEARCH("EFICIENTE",Z45)))</formula>
    </cfRule>
  </conditionalFormatting>
  <conditionalFormatting sqref="M42">
    <cfRule type="cellIs" dxfId="11" priority="10" operator="between">
      <formula>0.69</formula>
      <formula>0</formula>
    </cfRule>
    <cfRule type="cellIs" dxfId="10" priority="11" operator="between">
      <formula>0.79</formula>
      <formula>1</formula>
    </cfRule>
    <cfRule type="cellIs" dxfId="9" priority="12" operator="between">
      <formula>0.69</formula>
      <formula>0.79</formula>
    </cfRule>
  </conditionalFormatting>
  <conditionalFormatting sqref="Z42">
    <cfRule type="containsText" dxfId="8" priority="6" operator="containsText" text="NO EFICIENTE">
      <formula>NOT(ISERROR(SEARCH("NO EFICIENTE",Z42)))</formula>
    </cfRule>
    <cfRule type="containsText" dxfId="7" priority="7" operator="containsText" text="EFICIENTE">
      <formula>NOT(ISERROR(SEARCH("EFICIENTE",Z42)))</formula>
    </cfRule>
    <cfRule type="containsText" dxfId="6" priority="8" operator="containsText" text="NO">
      <formula>NOT(ISERROR(SEARCH("NO",Z42)))</formula>
    </cfRule>
    <cfRule type="containsText" dxfId="5" priority="9" operator="containsText" text="EFICIENTE">
      <formula>NOT(ISERROR(SEARCH("EFICIENTE",Z42)))</formula>
    </cfRule>
  </conditionalFormatting>
  <conditionalFormatting sqref="AA42">
    <cfRule type="containsText" dxfId="4" priority="1" operator="containsText" text="terminado">
      <formula>NOT(ISERROR(SEARCH("terminado",AA42)))</formula>
    </cfRule>
    <cfRule type="containsText" dxfId="3" priority="2" operator="containsText" text="acabados">
      <formula>NOT(ISERROR(SEARCH("acabados",AA42)))</formula>
    </cfRule>
    <cfRule type="containsText" dxfId="2" priority="3" operator="containsText" text="ca">
      <formula>NOT(ISERROR(SEARCH("ca",AA42)))</formula>
    </cfRule>
    <cfRule type="containsText" dxfId="1" priority="4" operator="containsText" text="mon">
      <formula>NOT(ISERROR(SEARCH("mon",AA42)))</formula>
    </cfRule>
    <cfRule type="containsText" dxfId="0" priority="5" operator="containsText" text="teje">
      <formula>NOT(ISERROR(SEARCH("teje",AA42)))</formula>
    </cfRule>
  </conditionalFormatting>
  <hyperlinks>
    <hyperlink ref="A3" r:id="rId1" location="'OP36 JUN'!A1" xr:uid="{00000000-0004-0000-0000-000001000000}"/>
    <hyperlink ref="A34" r:id="rId2" location="'OP29 MAY'!A1" xr:uid="{00000000-0004-0000-0000-000003000000}"/>
    <hyperlink ref="A52" r:id="rId3" location="'OP33 ABRIL'!A1" xr:uid="{00000000-0004-0000-0000-000005000000}"/>
    <hyperlink ref="A4" r:id="rId4" location="'OP38 JUN'!A1" xr:uid="{00000000-0004-0000-0000-000006000000}"/>
    <hyperlink ref="A24" r:id="rId5" location="'OP43 JUN'!A1" xr:uid="{00000000-0004-0000-0000-00000A000000}"/>
    <hyperlink ref="A6" r:id="rId6" location="'OP05 JUL'!A1" xr:uid="{00000000-0004-0000-0000-00000D000000}"/>
    <hyperlink ref="A7" r:id="rId7" location="'OP49 JUN'!A1" xr:uid="{00000000-0004-0000-0000-00000E000000}"/>
    <hyperlink ref="A20" r:id="rId8" location="'OP34 JUN'!A1" xr:uid="{00000000-0004-0000-0000-00000F000000}"/>
    <hyperlink ref="A32" r:id="rId9" location="'OP44 45 JUN'!A1" xr:uid="{00000000-0004-0000-0000-000011000000}"/>
    <hyperlink ref="A57" r:id="rId10" location="'OP51 MAY'!A1" display="OP51 JUN" xr:uid="{00000000-0004-0000-0000-000012000000}"/>
    <hyperlink ref="A27" r:id="rId11" location="'OP64 JUN'!A1" xr:uid="{00000000-0004-0000-0000-000013000000}"/>
    <hyperlink ref="A28" r:id="rId12" location="'OP04 JUL'!A1" xr:uid="{00000000-0004-0000-0000-000014000000}"/>
    <hyperlink ref="A26" r:id="rId13" location="'OP39 JUN'!A1" xr:uid="{00000000-0004-0000-0000-000017000000}"/>
    <hyperlink ref="A10" r:id="rId14" location="'OP58 JUN'!A1" xr:uid="{00000000-0004-0000-0000-000018000000}"/>
    <hyperlink ref="A25" r:id="rId15" location="'OP57 JUN'!A1" xr:uid="{00000000-0004-0000-0000-00001A000000}"/>
    <hyperlink ref="A16" r:id="rId16" location="'OP50 JUN'!A1" xr:uid="{00000000-0004-0000-0000-00001B000000}"/>
    <hyperlink ref="A9" r:id="rId17" location="'OP59 JUN'!A1" xr:uid="{00000000-0004-0000-0000-00001C000000}"/>
    <hyperlink ref="A38" r:id="rId18" location="'OP35 JUN'!A1" xr:uid="{00000000-0004-0000-0000-00001D000000}"/>
    <hyperlink ref="A53" r:id="rId19" location="'OP35 ABR '!A1" xr:uid="{00000000-0004-0000-0000-00001E000000}"/>
    <hyperlink ref="A8" r:id="rId20" location="'OP46 47 JUN'!A1" xr:uid="{00000000-0004-0000-0000-00001F000000}"/>
    <hyperlink ref="A12" r:id="rId21" location="'OP11 12 JUL'!A1" xr:uid="{00000000-0004-0000-0000-000022000000}"/>
    <hyperlink ref="A29" r:id="rId22" location="'OP13 14 JUL '!A1" xr:uid="{00000000-0004-0000-0000-000024000000}"/>
    <hyperlink ref="A37" r:id="rId23" location="'OP51 JUN'!A1" xr:uid="{00000000-0004-0000-0000-000025000000}"/>
    <hyperlink ref="A15" r:id="rId24" location="'OP29 JUL '!A1" xr:uid="{00000000-0004-0000-0000-000027000000}"/>
    <hyperlink ref="A14" r:id="rId25" location="'OP26 19 JU'!A1" xr:uid="{00000000-0004-0000-0000-000028000000}"/>
    <hyperlink ref="A13" r:id="rId26" location="'OP02 JUL'!A1" xr:uid="{00000000-0004-0000-0000-00002B000000}"/>
    <hyperlink ref="A58" r:id="rId27" location="'OP52 MAY '!A1" xr:uid="{00000000-0004-0000-0000-00002E000000}"/>
    <hyperlink ref="A18" r:id="rId28" location="'OP22 JUL '!A1" xr:uid="{00000000-0004-0000-0000-000030000000}"/>
    <hyperlink ref="A40" r:id="rId29" location="'OP20 JUL '!A1" xr:uid="{00000000-0004-0000-0000-000033000000}"/>
    <hyperlink ref="A19" r:id="rId30" location="'OP33 34 JUL'!A1" xr:uid="{AFFD37FF-6624-4C9E-9D41-F4B48A03A820}"/>
    <hyperlink ref="A23" r:id="rId31" location="'OP35 31 JUL '!A1" xr:uid="{98A72F39-ECCB-41ED-8ADB-E03F6A3B5F2E}"/>
    <hyperlink ref="A5" r:id="rId32" location="'OP15 JUN'!A1" xr:uid="{5BADE1CD-005C-4DC3-A4C1-93C93A2C7030}"/>
    <hyperlink ref="A21" r:id="rId33" location="'OP07 JUL '!A1" xr:uid="{CBBCD915-BC72-412A-8448-AFC89369E5CF}"/>
    <hyperlink ref="A22" r:id="rId34" location="'OP26 27 JUN'!A1" xr:uid="{3741CA8A-0809-4D03-A1FA-E9150BAE9CE1}"/>
    <hyperlink ref="A33" r:id="rId35" location="'OP10 JUN'!A1" xr:uid="{6C602171-F4E5-45E9-9B39-9D5809A52E64}"/>
    <hyperlink ref="A30" r:id="rId36" location="'OP26 27 JUN'!A1" display="OP26 27 JUN" xr:uid="{4B952898-AD91-4FFE-9609-6E722987A9C0}"/>
    <hyperlink ref="A31" r:id="rId37" location="'OP22 JUN'!A1" xr:uid="{3CC5DEBA-3462-4F04-A5DE-3E32BA7B5594}"/>
    <hyperlink ref="A35" r:id="rId38" location="'OP26 27 JUN'!A1" display="OP26 27 JUN" xr:uid="{2956D4CA-B580-4CA0-9E2D-335B528858CC}"/>
    <hyperlink ref="A36" r:id="rId39" location="'OP15 JUN'!A1" display="OP15 JUN" xr:uid="{33861A9D-6EB4-4681-A9B2-63D28A2249E7}"/>
    <hyperlink ref="A41" r:id="rId40" location="'OP07 JUL '!A1" display="OP07 JUL " xr:uid="{8F80D570-2E18-4157-A4B4-507F15B8C6EA}"/>
    <hyperlink ref="A54" r:id="rId41" location="'OP40 JUN '!A1" xr:uid="{F01A1CF4-6E64-40FF-855B-18E88F38C465}"/>
    <hyperlink ref="A55" r:id="rId42" location="'OP42 JUN '!A1" xr:uid="{BB4CBC38-F982-443C-8277-65C33E2A563D}"/>
    <hyperlink ref="A45" r:id="rId43" location="'OP55 JUN'!A1" xr:uid="{BC9B54CE-834D-4968-BDC1-220573D75193}"/>
    <hyperlink ref="A11" r:id="rId44" location="'OP48 JUN'!A1" xr:uid="{91E4E71A-B77B-43AC-ADFB-7AADB9E5379D}"/>
    <hyperlink ref="A39" r:id="rId45" location="'OP15 16 JUL '!A1" xr:uid="{42CC3687-B161-4249-AF5C-6C90EECC1B50}"/>
    <hyperlink ref="A56" r:id="rId46" location="'OP23 ABR'!A1" xr:uid="{050A7877-D483-49D9-A506-ABD1C88FE2E2}"/>
    <hyperlink ref="A47" r:id="rId47" location="'OP07 JUN'!A1" xr:uid="{069C26D9-0EA2-44A4-BD9B-A053898A2479}"/>
    <hyperlink ref="A42" r:id="rId48" location="'OP23 JUN'!A1" xr:uid="{B60CE1E2-7644-488A-879F-EEAA53C10AEE}"/>
    <hyperlink ref="A48" r:id="rId49" location="'OP16 ABRIL'!A1" xr:uid="{8364E150-B1A2-48C3-8F54-BF076D479343}"/>
    <hyperlink ref="A49" r:id="rId50" location="'OP16 ABRIL'!A1" display="OP03 JUL" xr:uid="{86A7A77B-F564-430B-9B74-66EB59037DFE}"/>
    <hyperlink ref="A46" r:id="rId51" location="'OP52 JUN '!A1" xr:uid="{5534A0E4-CF95-4DEB-B0DD-5762FB9F9172}"/>
    <hyperlink ref="A17" r:id="rId52" location="'OP25 30 JUL '!A1" xr:uid="{30319D23-7093-49DD-8BD9-F17827BAF537}"/>
    <hyperlink ref="A43" r:id="rId53" location="'OP53 JUN'!A1" xr:uid="{1731C9C8-F2FF-48A9-9F27-951D82CD49E0}"/>
    <hyperlink ref="A44" r:id="rId54" location="'OP31 JUN'!A1" xr:uid="{ABDBDC09-43E8-4C60-9981-E0F81D357CD3}"/>
  </hyperlinks>
  <pageMargins left="0.7" right="0.7" top="0.75" bottom="0.75" header="0.3" footer="0.3"/>
  <pageSetup paperSize="9" orientation="portrait" r:id="rId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F58"/>
  <sheetViews>
    <sheetView workbookViewId="0">
      <pane ySplit="1" topLeftCell="A50" activePane="bottomLeft" state="frozen"/>
      <selection pane="bottomLeft" activeCell="F58" sqref="F58"/>
    </sheetView>
  </sheetViews>
  <sheetFormatPr baseColWidth="10" defaultRowHeight="14.4" x14ac:dyDescent="0.3"/>
  <cols>
    <col min="1" max="1" width="11" style="123"/>
    <col min="2" max="5" width="11" style="67"/>
  </cols>
  <sheetData>
    <row r="1" spans="1:5" s="57" customFormat="1" ht="50.4" x14ac:dyDescent="0.3">
      <c r="A1" s="53" t="s">
        <v>20</v>
      </c>
      <c r="B1" s="70" t="s">
        <v>221</v>
      </c>
      <c r="C1" s="71" t="s">
        <v>179</v>
      </c>
      <c r="D1" s="72" t="s">
        <v>222</v>
      </c>
      <c r="E1" s="73" t="s">
        <v>218</v>
      </c>
    </row>
    <row r="2" spans="1:5" x14ac:dyDescent="0.3">
      <c r="A2" s="118" t="s">
        <v>24</v>
      </c>
      <c r="B2" s="68">
        <v>3.5</v>
      </c>
      <c r="C2" s="68">
        <v>3.5</v>
      </c>
      <c r="D2" s="68"/>
      <c r="E2" s="68"/>
    </row>
    <row r="3" spans="1:5" x14ac:dyDescent="0.3">
      <c r="A3" s="118" t="s">
        <v>45</v>
      </c>
      <c r="B3" s="68"/>
      <c r="C3" s="68">
        <v>6</v>
      </c>
      <c r="D3" s="68"/>
      <c r="E3" s="68"/>
    </row>
    <row r="4" spans="1:5" x14ac:dyDescent="0.3">
      <c r="A4" s="119" t="s">
        <v>104</v>
      </c>
      <c r="B4" s="68">
        <v>2</v>
      </c>
      <c r="C4" s="68">
        <v>2</v>
      </c>
      <c r="D4" s="68"/>
      <c r="E4" s="68"/>
    </row>
    <row r="5" spans="1:5" x14ac:dyDescent="0.3">
      <c r="A5" s="118" t="s">
        <v>102</v>
      </c>
      <c r="B5" s="68"/>
      <c r="C5" s="68"/>
      <c r="D5" s="68">
        <v>6</v>
      </c>
      <c r="E5" s="68"/>
    </row>
    <row r="6" spans="1:5" x14ac:dyDescent="0.3">
      <c r="A6" s="118" t="s">
        <v>99</v>
      </c>
      <c r="B6" s="68"/>
      <c r="C6" s="68">
        <v>6</v>
      </c>
      <c r="D6" s="68"/>
      <c r="E6" s="68"/>
    </row>
    <row r="7" spans="1:5" x14ac:dyDescent="0.3">
      <c r="A7" s="120" t="s">
        <v>126</v>
      </c>
      <c r="B7" s="68">
        <v>2</v>
      </c>
      <c r="C7" s="68"/>
      <c r="D7" s="68">
        <v>2</v>
      </c>
      <c r="E7" s="68"/>
    </row>
    <row r="8" spans="1:5" x14ac:dyDescent="0.3">
      <c r="A8" s="120" t="s">
        <v>83</v>
      </c>
      <c r="B8" s="68">
        <v>3</v>
      </c>
      <c r="C8" s="68">
        <v>3</v>
      </c>
      <c r="D8" s="68"/>
      <c r="E8" s="68"/>
    </row>
    <row r="9" spans="1:5" x14ac:dyDescent="0.3">
      <c r="A9" s="120" t="s">
        <v>113</v>
      </c>
      <c r="B9" s="68">
        <v>3</v>
      </c>
      <c r="C9" s="68">
        <v>3</v>
      </c>
      <c r="D9" s="68"/>
      <c r="E9" s="68"/>
    </row>
    <row r="10" spans="1:5" x14ac:dyDescent="0.3">
      <c r="A10" s="119" t="s">
        <v>163</v>
      </c>
      <c r="B10" s="68">
        <v>2</v>
      </c>
      <c r="C10" s="68"/>
      <c r="D10" s="68">
        <v>2</v>
      </c>
      <c r="E10" s="68"/>
    </row>
    <row r="11" spans="1:5" x14ac:dyDescent="0.3">
      <c r="A11" s="120" t="s">
        <v>169</v>
      </c>
      <c r="B11" s="68"/>
      <c r="C11" s="68">
        <v>2</v>
      </c>
      <c r="D11" s="68"/>
      <c r="E11" s="68">
        <v>6</v>
      </c>
    </row>
    <row r="12" spans="1:5" x14ac:dyDescent="0.3">
      <c r="A12" s="119" t="s">
        <v>186</v>
      </c>
      <c r="B12" s="68">
        <v>6</v>
      </c>
      <c r="C12" s="68"/>
      <c r="D12" s="68"/>
      <c r="E12" s="68"/>
    </row>
    <row r="13" spans="1:5" x14ac:dyDescent="0.3">
      <c r="A13" s="120" t="s">
        <v>197</v>
      </c>
      <c r="B13" s="68">
        <v>4.5</v>
      </c>
      <c r="C13" s="68"/>
      <c r="D13" s="68">
        <v>4.5</v>
      </c>
      <c r="E13" s="68"/>
    </row>
    <row r="14" spans="1:5" x14ac:dyDescent="0.3">
      <c r="A14" s="120" t="s">
        <v>194</v>
      </c>
      <c r="B14" s="68">
        <v>3</v>
      </c>
      <c r="C14" s="68"/>
      <c r="D14" s="68"/>
      <c r="E14" s="68">
        <v>3</v>
      </c>
    </row>
    <row r="15" spans="1:5" x14ac:dyDescent="0.3">
      <c r="A15" s="120" t="s">
        <v>88</v>
      </c>
      <c r="B15" s="68"/>
      <c r="C15" s="68"/>
      <c r="D15" s="68">
        <v>6</v>
      </c>
      <c r="E15" s="68"/>
    </row>
    <row r="16" spans="1:5" x14ac:dyDescent="0.3">
      <c r="A16" s="119" t="s">
        <v>246</v>
      </c>
      <c r="B16" s="68"/>
      <c r="C16" s="68">
        <v>24</v>
      </c>
      <c r="D16" s="68"/>
      <c r="E16" s="68"/>
    </row>
    <row r="17" spans="1:5" x14ac:dyDescent="0.3">
      <c r="A17" s="120" t="s">
        <v>243</v>
      </c>
      <c r="B17" s="68">
        <v>1.5</v>
      </c>
      <c r="C17" s="68">
        <v>1.5</v>
      </c>
      <c r="D17" s="68"/>
      <c r="E17" s="68">
        <v>1</v>
      </c>
    </row>
    <row r="18" spans="1:5" x14ac:dyDescent="0.3">
      <c r="A18" s="119" t="s">
        <v>270</v>
      </c>
      <c r="B18" s="117">
        <v>3</v>
      </c>
      <c r="C18" s="68"/>
      <c r="D18" s="68">
        <v>3</v>
      </c>
      <c r="E18" s="68"/>
    </row>
    <row r="19" spans="1:5" x14ac:dyDescent="0.3">
      <c r="A19" s="120" t="s">
        <v>71</v>
      </c>
      <c r="B19" s="68">
        <v>1</v>
      </c>
      <c r="C19" s="68">
        <v>6</v>
      </c>
      <c r="D19" s="68"/>
      <c r="E19" s="68"/>
    </row>
    <row r="20" spans="1:5" x14ac:dyDescent="0.3">
      <c r="A20" s="119" t="s">
        <v>219</v>
      </c>
      <c r="B20" s="69">
        <v>6.5</v>
      </c>
      <c r="C20" s="68">
        <v>1</v>
      </c>
      <c r="D20" s="69">
        <v>0.5</v>
      </c>
      <c r="E20" s="68"/>
    </row>
    <row r="21" spans="1:5" x14ac:dyDescent="0.3">
      <c r="A21" s="119" t="s">
        <v>57</v>
      </c>
      <c r="B21" s="69">
        <v>0.5</v>
      </c>
      <c r="C21" s="69">
        <v>3.5</v>
      </c>
      <c r="D21" s="68"/>
      <c r="E21" s="68"/>
    </row>
    <row r="22" spans="1:5" x14ac:dyDescent="0.3">
      <c r="A22" s="120" t="s">
        <v>249</v>
      </c>
      <c r="B22" s="68">
        <v>3</v>
      </c>
      <c r="C22" s="68"/>
      <c r="D22" s="68"/>
      <c r="E22" s="68">
        <v>3</v>
      </c>
    </row>
    <row r="23" spans="1:5" x14ac:dyDescent="0.3">
      <c r="A23" s="118" t="s">
        <v>63</v>
      </c>
      <c r="B23" s="68"/>
      <c r="C23" s="68">
        <v>6</v>
      </c>
      <c r="D23" s="68"/>
      <c r="E23" s="68"/>
    </row>
    <row r="24" spans="1:5" x14ac:dyDescent="0.3">
      <c r="A24" s="120" t="s">
        <v>75</v>
      </c>
      <c r="B24" s="68">
        <v>2</v>
      </c>
      <c r="C24" s="68">
        <v>2</v>
      </c>
      <c r="D24" s="68"/>
      <c r="E24" s="68"/>
    </row>
    <row r="25" spans="1:5" x14ac:dyDescent="0.3">
      <c r="A25" s="120" t="s">
        <v>149</v>
      </c>
      <c r="B25" s="68"/>
      <c r="C25" s="68"/>
      <c r="D25" s="68">
        <v>7</v>
      </c>
      <c r="E25" s="68"/>
    </row>
    <row r="26" spans="1:5" x14ac:dyDescent="0.3">
      <c r="A26" s="120" t="s">
        <v>150</v>
      </c>
      <c r="B26" s="68"/>
      <c r="C26" s="68">
        <v>4</v>
      </c>
      <c r="D26" s="68"/>
      <c r="E26" s="68"/>
    </row>
    <row r="27" spans="1:5" x14ac:dyDescent="0.3">
      <c r="A27" s="120" t="s">
        <v>142</v>
      </c>
      <c r="B27" s="68">
        <v>2</v>
      </c>
      <c r="C27" s="68">
        <v>1</v>
      </c>
      <c r="D27" s="68">
        <v>1</v>
      </c>
      <c r="E27" s="68"/>
    </row>
    <row r="28" spans="1:5" x14ac:dyDescent="0.3">
      <c r="A28" s="120" t="s">
        <v>178</v>
      </c>
      <c r="B28" s="68">
        <v>4</v>
      </c>
      <c r="C28" s="68"/>
      <c r="D28" s="68">
        <v>2</v>
      </c>
      <c r="E28" s="68">
        <v>3</v>
      </c>
    </row>
    <row r="29" spans="1:5" x14ac:dyDescent="0.3">
      <c r="A29" s="119" t="s">
        <v>281</v>
      </c>
      <c r="B29" s="68">
        <v>2</v>
      </c>
      <c r="C29" s="68"/>
      <c r="D29" s="68">
        <v>2</v>
      </c>
      <c r="E29" s="68"/>
    </row>
    <row r="30" spans="1:5" x14ac:dyDescent="0.3">
      <c r="A30" s="119" t="s">
        <v>109</v>
      </c>
      <c r="B30" s="117">
        <v>1.5</v>
      </c>
      <c r="C30" s="68">
        <v>1.5</v>
      </c>
      <c r="D30" s="68"/>
      <c r="E30" s="68">
        <v>1</v>
      </c>
    </row>
    <row r="31" spans="1:5" x14ac:dyDescent="0.3">
      <c r="A31" s="120" t="s">
        <v>130</v>
      </c>
      <c r="B31" s="68">
        <v>3</v>
      </c>
      <c r="C31" s="68"/>
      <c r="D31" s="68">
        <v>3</v>
      </c>
      <c r="E31" s="68"/>
    </row>
    <row r="32" spans="1:5" x14ac:dyDescent="0.3">
      <c r="A32" s="119" t="s">
        <v>93</v>
      </c>
      <c r="B32" s="68">
        <v>2</v>
      </c>
      <c r="C32" s="68">
        <v>2</v>
      </c>
      <c r="D32" s="68"/>
      <c r="E32" s="68"/>
    </row>
    <row r="33" spans="1:5" x14ac:dyDescent="0.3">
      <c r="A33" s="118" t="s">
        <v>29</v>
      </c>
      <c r="B33" s="68">
        <v>6</v>
      </c>
      <c r="C33" s="68"/>
      <c r="D33" s="68"/>
      <c r="E33" s="68"/>
    </row>
    <row r="34" spans="1:5" x14ac:dyDescent="0.3">
      <c r="A34" s="119" t="s">
        <v>282</v>
      </c>
      <c r="B34" s="68">
        <v>2</v>
      </c>
      <c r="C34" s="68"/>
      <c r="D34" s="68"/>
      <c r="E34" s="68">
        <v>2</v>
      </c>
    </row>
    <row r="35" spans="1:5" x14ac:dyDescent="0.3">
      <c r="A35" s="119" t="s">
        <v>200</v>
      </c>
      <c r="B35" s="68">
        <v>2</v>
      </c>
      <c r="C35" s="68"/>
      <c r="D35" s="68"/>
      <c r="E35" s="68">
        <v>2</v>
      </c>
    </row>
    <row r="36" spans="1:5" x14ac:dyDescent="0.3">
      <c r="A36" s="120" t="s">
        <v>184</v>
      </c>
      <c r="B36" s="68">
        <v>3</v>
      </c>
      <c r="C36" s="68"/>
      <c r="D36" s="69">
        <v>0.5</v>
      </c>
      <c r="E36" s="69">
        <v>2.5</v>
      </c>
    </row>
    <row r="37" spans="1:5" x14ac:dyDescent="0.3">
      <c r="A37" s="120" t="s">
        <v>207</v>
      </c>
      <c r="B37" s="68">
        <v>4.5</v>
      </c>
      <c r="C37" s="68">
        <v>4.5</v>
      </c>
      <c r="D37" s="68"/>
      <c r="E37" s="68"/>
    </row>
    <row r="38" spans="1:5" x14ac:dyDescent="0.3">
      <c r="A38" s="119" t="s">
        <v>224</v>
      </c>
      <c r="B38" s="68">
        <v>3.6</v>
      </c>
      <c r="C38" s="68">
        <v>3.6</v>
      </c>
      <c r="D38" s="68"/>
      <c r="E38" s="68">
        <v>3.6</v>
      </c>
    </row>
    <row r="39" spans="1:5" x14ac:dyDescent="0.3">
      <c r="A39" s="119" t="s">
        <v>269</v>
      </c>
      <c r="B39" s="68"/>
      <c r="C39" s="68"/>
      <c r="D39" s="68">
        <v>6</v>
      </c>
      <c r="E39" s="68"/>
    </row>
    <row r="40" spans="1:5" x14ac:dyDescent="0.3">
      <c r="A40" s="119" t="s">
        <v>275</v>
      </c>
      <c r="B40" s="117">
        <v>2</v>
      </c>
      <c r="C40" s="68"/>
      <c r="D40" s="68"/>
      <c r="E40" s="117">
        <v>2</v>
      </c>
    </row>
    <row r="41" spans="1:5" x14ac:dyDescent="0.3">
      <c r="A41" s="120" t="s">
        <v>286</v>
      </c>
      <c r="B41" s="117">
        <v>2</v>
      </c>
      <c r="C41" s="69">
        <v>2</v>
      </c>
      <c r="D41" s="68"/>
      <c r="E41" s="68"/>
    </row>
    <row r="42" spans="1:5" x14ac:dyDescent="0.3">
      <c r="A42" s="119" t="s">
        <v>191</v>
      </c>
      <c r="B42" s="117">
        <v>4</v>
      </c>
      <c r="C42" s="68"/>
      <c r="D42" s="68"/>
      <c r="E42" s="68">
        <v>4</v>
      </c>
    </row>
    <row r="43" spans="1:5" x14ac:dyDescent="0.3">
      <c r="A43" s="121" t="s">
        <v>40</v>
      </c>
      <c r="B43" s="68">
        <v>3</v>
      </c>
      <c r="C43" s="69">
        <v>2.5</v>
      </c>
      <c r="D43" s="68"/>
      <c r="E43" s="68"/>
    </row>
    <row r="44" spans="1:5" x14ac:dyDescent="0.3">
      <c r="A44" s="119" t="s">
        <v>228</v>
      </c>
      <c r="B44" s="68"/>
      <c r="C44" s="68">
        <v>6</v>
      </c>
      <c r="D44" s="68"/>
      <c r="E44" s="68"/>
    </row>
    <row r="45" spans="1:5" x14ac:dyDescent="0.3">
      <c r="A45" s="119" t="s">
        <v>21</v>
      </c>
      <c r="B45" s="68"/>
      <c r="C45" s="69">
        <v>5.5</v>
      </c>
      <c r="D45" s="69">
        <v>0.5</v>
      </c>
      <c r="E45" s="68"/>
    </row>
    <row r="46" spans="1:5" x14ac:dyDescent="0.3">
      <c r="A46" s="119" t="s">
        <v>35</v>
      </c>
      <c r="B46" s="117">
        <v>4</v>
      </c>
      <c r="C46" s="68"/>
      <c r="D46" s="68">
        <v>4</v>
      </c>
      <c r="E46" s="68"/>
    </row>
    <row r="47" spans="1:5" x14ac:dyDescent="0.3">
      <c r="A47" s="119" t="s">
        <v>138</v>
      </c>
      <c r="B47" s="68">
        <v>3.5</v>
      </c>
      <c r="C47" s="68"/>
      <c r="D47" s="68">
        <v>3.5</v>
      </c>
      <c r="E47" s="68"/>
    </row>
    <row r="48" spans="1:5" x14ac:dyDescent="0.3">
      <c r="A48" s="119" t="s">
        <v>288</v>
      </c>
      <c r="B48" s="68">
        <v>2</v>
      </c>
      <c r="C48" s="68">
        <v>2</v>
      </c>
      <c r="D48" s="68"/>
      <c r="E48" s="68"/>
    </row>
    <row r="49" spans="1:6" x14ac:dyDescent="0.3">
      <c r="A49" s="118" t="s">
        <v>37</v>
      </c>
      <c r="B49" s="68">
        <v>2</v>
      </c>
      <c r="C49" s="68"/>
      <c r="D49" s="68">
        <v>1</v>
      </c>
      <c r="E49" s="68">
        <v>1</v>
      </c>
    </row>
    <row r="50" spans="1:6" x14ac:dyDescent="0.3">
      <c r="A50" s="122" t="s">
        <v>43</v>
      </c>
      <c r="B50" s="68">
        <v>3</v>
      </c>
      <c r="C50" s="68"/>
      <c r="D50" s="68">
        <v>3</v>
      </c>
      <c r="E50" s="68"/>
    </row>
    <row r="51" spans="1:6" x14ac:dyDescent="0.3">
      <c r="A51" s="120" t="s">
        <v>208</v>
      </c>
      <c r="B51" s="68">
        <v>3</v>
      </c>
      <c r="C51" s="68">
        <v>3</v>
      </c>
      <c r="D51" s="68"/>
      <c r="E51" s="68"/>
    </row>
    <row r="52" spans="1:6" x14ac:dyDescent="0.3">
      <c r="A52" s="120" t="s">
        <v>272</v>
      </c>
      <c r="B52" s="117">
        <v>1</v>
      </c>
      <c r="C52" s="68"/>
      <c r="D52" s="117">
        <v>1</v>
      </c>
      <c r="E52" s="68"/>
    </row>
    <row r="53" spans="1:6" x14ac:dyDescent="0.3">
      <c r="A53" s="120" t="s">
        <v>273</v>
      </c>
      <c r="B53" s="117">
        <v>1</v>
      </c>
      <c r="C53" s="68"/>
      <c r="D53" s="117">
        <v>1</v>
      </c>
      <c r="E53" s="68"/>
    </row>
    <row r="54" spans="1:6" x14ac:dyDescent="0.3">
      <c r="A54" s="119" t="s">
        <v>151</v>
      </c>
      <c r="B54" s="68">
        <v>4</v>
      </c>
      <c r="C54" s="68"/>
      <c r="D54" s="68">
        <v>4</v>
      </c>
      <c r="E54" s="68"/>
    </row>
    <row r="55" spans="1:6" x14ac:dyDescent="0.3">
      <c r="A55" s="120" t="s">
        <v>159</v>
      </c>
      <c r="B55" s="68">
        <v>2</v>
      </c>
      <c r="C55" s="68">
        <v>1</v>
      </c>
      <c r="D55" s="68"/>
      <c r="E55" s="68">
        <v>1</v>
      </c>
    </row>
    <row r="56" spans="1:6" x14ac:dyDescent="0.3">
      <c r="A56" s="120" t="s">
        <v>250</v>
      </c>
      <c r="B56" s="68">
        <v>1</v>
      </c>
      <c r="C56" s="68"/>
      <c r="D56" s="68">
        <v>1</v>
      </c>
      <c r="E56" s="68"/>
    </row>
    <row r="58" spans="1:6" x14ac:dyDescent="0.3">
      <c r="B58" s="67">
        <f>SUM(B2:B56)</f>
        <v>119.6</v>
      </c>
      <c r="C58" s="67">
        <f t="shared" ref="C58:E58" si="0">SUM(C2:C56)</f>
        <v>108.1</v>
      </c>
      <c r="D58" s="67">
        <f t="shared" si="0"/>
        <v>64.5</v>
      </c>
      <c r="E58" s="67">
        <f t="shared" si="0"/>
        <v>35.1</v>
      </c>
      <c r="F58" s="67">
        <f>SUM(B58:E58)</f>
        <v>327.3</v>
      </c>
    </row>
  </sheetData>
  <autoFilter ref="A1:E1" xr:uid="{00000000-0001-0000-0200-000000000000}"/>
  <hyperlinks>
    <hyperlink ref="A2" r:id="rId1" location="'OP36 JUN'!A1" xr:uid="{74CC1EBD-2811-462C-8993-84E1619AF639}"/>
    <hyperlink ref="A33" r:id="rId2" location="'OP29 MAY'!A1" xr:uid="{E151CE75-D6B4-498F-81B6-5484221674D6}"/>
    <hyperlink ref="A49" r:id="rId3" location="'OP37 JUN'!A1" xr:uid="{9C5FA204-1DEF-4ACD-8939-784CA1ACE854}"/>
    <hyperlink ref="A3" r:id="rId4" location="'OP38 JUN'!A1" xr:uid="{8EAAB488-7732-4401-A01F-7A2F4F44AD34}"/>
    <hyperlink ref="A23" r:id="rId5" location="'OP43 JUN'!A1" xr:uid="{B2337018-08EE-4F74-B17E-C2282A2011AC}"/>
    <hyperlink ref="A43" r:id="rId6" location="'OP31 JUN'!A1" xr:uid="{D21B639E-3AC9-4AA5-A376-58006945379E}"/>
    <hyperlink ref="A5" r:id="rId7" location="'OP05 JUL'!A1" xr:uid="{D88374D2-068F-4FDE-84F3-EE9B35C041E6}"/>
    <hyperlink ref="A6" r:id="rId8" location="'OP49 JUN'!A1" xr:uid="{4EEEF164-89D7-44A2-B880-476C0D6657C2}"/>
    <hyperlink ref="A19" r:id="rId9" location="'OP34 JUN'!A1" xr:uid="{7A0D9FE7-60C4-4AD3-9703-2C7B9AE3349C}"/>
    <hyperlink ref="A31" r:id="rId10" location="'OP44 45 JUN'!A1" xr:uid="{B5BA28BC-433A-445A-835A-BDBA98836A02}"/>
    <hyperlink ref="A26" r:id="rId11" location="'OP64 JUN'!A1" xr:uid="{B167DB93-01D0-4BEB-AAAF-1923334103FB}"/>
    <hyperlink ref="A27" r:id="rId12" location="'OP04 JUL'!A1" xr:uid="{39DD428B-F18B-4C6B-A21C-9DCD01CB8954}"/>
    <hyperlink ref="A25" r:id="rId13" location="'OP39 JUN'!A1" xr:uid="{4A4AE79A-821E-4928-B988-A2E3643A7A81}"/>
    <hyperlink ref="A9" r:id="rId14" location="'OP58 JUN'!A1" xr:uid="{0E645DB6-C218-450E-8D68-228584AE89B5}"/>
    <hyperlink ref="A24" r:id="rId15" location="'OP57 JUN'!A1" xr:uid="{5566047C-F177-404C-8473-81536933282B}"/>
    <hyperlink ref="A15" r:id="rId16" location="'OP50 JUN'!A1" xr:uid="{222354B0-56A0-46BD-B47B-B46C5406A500}"/>
    <hyperlink ref="A8" r:id="rId17" location="'OP59 JUN'!A1" xr:uid="{CEF84EF3-0398-4E1C-9636-61E90DC1C8D6}"/>
    <hyperlink ref="A37" r:id="rId18" location="'OP35 JUN'!A1" xr:uid="{B3B1EFCD-E636-4A99-BEF3-47753B872B45}"/>
    <hyperlink ref="A7" r:id="rId19" location="'OP46 47 JUN'!A1" xr:uid="{C67FFA6C-08BA-41DE-BF29-1960A80CDACC}"/>
    <hyperlink ref="A11" r:id="rId20" location="'OP11 12 JUL'!A1" xr:uid="{2A433C09-24C8-49B9-92FF-17B4BCFAB41A}"/>
    <hyperlink ref="A28" r:id="rId21" location="'OP13 14 JUL '!A1" xr:uid="{65EF717A-B58D-4234-9718-61BFA2904961}"/>
    <hyperlink ref="A36" r:id="rId22" location="'OP51 JUN'!A1" xr:uid="{1E2D01F7-F0FE-4738-81A6-7DAF9BF10F2A}"/>
    <hyperlink ref="A14" r:id="rId23" location="'OP29 JUL '!A1" xr:uid="{24B6FBB9-A48E-4E97-905C-57806CA9D78C}"/>
    <hyperlink ref="A13" r:id="rId24" location="'OP26 19 JU'!A1" xr:uid="{5A8F61A8-FC55-4193-89A7-607AB033C954}"/>
    <hyperlink ref="A12" r:id="rId25" location="'OP02 JUL'!A1" xr:uid="{5AE08A12-FABF-4F86-AF97-5125456237A7}"/>
    <hyperlink ref="A17" r:id="rId26" location="'OP22 JUL '!A1" xr:uid="{6EE89F94-A386-474E-BDAA-018A07D6F83B}"/>
    <hyperlink ref="A22" r:id="rId27" location="'OP35 31 JUL '!A1" xr:uid="{E31A9D4E-ADBD-4717-A243-B3EC1F4301A3}"/>
    <hyperlink ref="A4" r:id="rId28" location="'OP15 JUN'!A1" xr:uid="{3FC21C22-54D7-4DC7-83CB-E6D690344670}"/>
    <hyperlink ref="A20" r:id="rId29" location="'OP07 JUL '!A1" xr:uid="{1A76860A-BCC2-4F75-A421-6741D6BAE272}"/>
    <hyperlink ref="A21" r:id="rId30" location="'OP26 27 JUN'!A1" xr:uid="{34AAC4E7-21A9-4A2B-A768-1ED4B7E8E31F}"/>
    <hyperlink ref="A32" r:id="rId31" location="'OP10 JUN'!A1" xr:uid="{7D81A367-C62E-4283-8987-665427F36725}"/>
    <hyperlink ref="A29" r:id="rId32" location="'OP26 27 JUN'!A1" display="OP26 27 JUN" xr:uid="{FE15FCC4-3E98-489A-9AA8-7F6ECDCF1E81}"/>
    <hyperlink ref="A34" r:id="rId33" location="'OP26 27 JUN'!A1" display="OP26 27 JUN" xr:uid="{00151EFE-9B19-476B-9839-44E3DDAFE802}"/>
    <hyperlink ref="A35" r:id="rId34" location="'OP15 JUN'!A1" display="OP15 JUN" xr:uid="{63BC8A5C-B2C4-4A8E-BC61-D6ADF4199111}"/>
    <hyperlink ref="A44" r:id="rId35" location="'OP55 JUN'!A1" xr:uid="{5E80CE43-F114-48A8-85C0-AF5742DB6A2A}"/>
    <hyperlink ref="A10" r:id="rId36" location="'OP48 JUN'!A1" xr:uid="{7B5F2997-28AA-4A8E-8A5B-3507FC131F09}"/>
    <hyperlink ref="A38" r:id="rId37" location="'OP15 16 JUL '!A1" xr:uid="{D40378E1-8B0A-4A29-9D15-86745B5EA189}"/>
    <hyperlink ref="A46" r:id="rId38" location="'OP07 JUN'!A1" xr:uid="{AC8D8A6B-97C5-459E-A865-2057A323AE60}"/>
    <hyperlink ref="A41" r:id="rId39" location="'OP23 JUN'!A1" xr:uid="{A9071B73-781A-4871-A954-E85709D7C908}"/>
    <hyperlink ref="A47" r:id="rId40" location="'OP16 ABRIL'!A1" xr:uid="{11D180D9-4973-4A9D-B768-E019E87AB53B}"/>
    <hyperlink ref="A48" r:id="rId41" location="'OP16 ABRIL'!A1" display="OP03 JUL" xr:uid="{03A46E5A-FFCC-40E6-8B8E-9A070FEF0F6C}"/>
    <hyperlink ref="A45" r:id="rId42" location="'OP52 JUN '!A1" xr:uid="{1B8B0F7F-DC9C-4F35-9FA8-6BD23B712A77}"/>
    <hyperlink ref="A16" r:id="rId43" location="'OP25 30 JUL '!A1" xr:uid="{06F0F3CA-AA0D-49B7-A6D2-C0EB81DE77F5}"/>
    <hyperlink ref="A50" r:id="rId44" location="'OP33 ABRIL'!A1" xr:uid="{A4860882-62A4-4C54-B62F-673016A1D42E}"/>
    <hyperlink ref="A55" r:id="rId45" location="'OP51 MAY'!A1" display="OP51 JUN" xr:uid="{ADBA13B6-123D-44AE-A28F-479D5F789804}"/>
    <hyperlink ref="A51" r:id="rId46" location="'OP35 ABR '!A1" xr:uid="{A2D83DD6-F0FF-4C3F-A178-5DC117706A1E}"/>
    <hyperlink ref="A56" r:id="rId47" location="'OP52 MAY '!A1" xr:uid="{26BB3F9C-B8C7-41C8-B58C-ADC7E7C00EC1}"/>
    <hyperlink ref="A52" r:id="rId48" location="'OP40 JUN '!A1" xr:uid="{3AFF61F8-F784-449F-85E0-A5A915B39803}"/>
    <hyperlink ref="A53" r:id="rId49" location="'OP42 JUN '!A1" xr:uid="{3CF00F00-C816-4D91-A878-6F3BC549EF44}"/>
    <hyperlink ref="A54" r:id="rId50" location="'OP23 ABR'!A1" xr:uid="{C2A61D7D-4EF5-41F1-A1DF-7C5441CFCD0F}"/>
    <hyperlink ref="A18" r:id="rId51" location="'OP33 34 JUL'!A1" xr:uid="{5662E274-C235-4553-92D1-722F9D446A8B}"/>
    <hyperlink ref="A30" r:id="rId52" location="'OP22 JUN'!A1" xr:uid="{E1D9FE64-C346-47F6-9340-523B4D2A7F64}"/>
    <hyperlink ref="A39" r:id="rId53" location="'OP20 JUL '!A1" xr:uid="{2DDF76B1-FC10-4AC0-B537-7612F07BB982}"/>
    <hyperlink ref="A40" r:id="rId54" location="'OP33 JUN'!A1" xr:uid="{B4B89569-E9DF-4840-9CD6-B85935C18182}"/>
    <hyperlink ref="A42" r:id="rId55" location="'OP53 JUN'!A1" xr:uid="{3853E50F-BBC4-4967-8FC8-3457D5705207}"/>
  </hyperlinks>
  <pageMargins left="0.7" right="0.7" top="0.75" bottom="0.75" header="0.3" footer="0.3"/>
  <pageSetup paperSize="9" orientation="portrait" r:id="rId56"/>
  <drawing r:id="rId5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E11"/>
  <sheetViews>
    <sheetView workbookViewId="0">
      <selection activeCell="J19" sqref="J19"/>
    </sheetView>
  </sheetViews>
  <sheetFormatPr baseColWidth="10" defaultRowHeight="14.4" x14ac:dyDescent="0.3"/>
  <cols>
    <col min="1" max="1" width="6.109375" style="63" customWidth="1"/>
    <col min="3" max="3" width="11" style="57"/>
    <col min="4" max="5" width="33.88671875" customWidth="1"/>
  </cols>
  <sheetData>
    <row r="1" spans="1:5" x14ac:dyDescent="0.3">
      <c r="A1" s="74" t="s">
        <v>206</v>
      </c>
      <c r="B1" s="75"/>
      <c r="C1" s="75"/>
      <c r="D1" s="75"/>
      <c r="E1" s="76"/>
    </row>
    <row r="2" spans="1:5" s="56" customFormat="1" ht="28.8" x14ac:dyDescent="0.3">
      <c r="A2" s="61" t="s">
        <v>201</v>
      </c>
      <c r="B2" s="61" t="s">
        <v>202</v>
      </c>
      <c r="C2" s="61" t="s">
        <v>203</v>
      </c>
      <c r="D2" s="61" t="s">
        <v>204</v>
      </c>
      <c r="E2" s="61" t="s">
        <v>205</v>
      </c>
    </row>
    <row r="3" spans="1:5" x14ac:dyDescent="0.3">
      <c r="A3" s="64">
        <v>1</v>
      </c>
      <c r="B3" s="62" t="s">
        <v>73</v>
      </c>
      <c r="C3" s="22">
        <f>COUNTIF('DATOS GENERALES'!A:AG,CALIBRACIONES!B3)</f>
        <v>8</v>
      </c>
      <c r="D3" s="62" t="s">
        <v>213</v>
      </c>
      <c r="E3" s="62"/>
    </row>
    <row r="4" spans="1:5" x14ac:dyDescent="0.3">
      <c r="A4" s="64">
        <v>2</v>
      </c>
      <c r="B4" s="62" t="s">
        <v>82</v>
      </c>
      <c r="C4" s="22">
        <f>COUNTIF('DATOS GENERALES'!E:E,CALIBRACIONES!B4)</f>
        <v>13</v>
      </c>
      <c r="D4" s="62" t="s">
        <v>214</v>
      </c>
      <c r="E4" s="62"/>
    </row>
    <row r="5" spans="1:5" x14ac:dyDescent="0.3">
      <c r="A5" s="64">
        <v>3</v>
      </c>
      <c r="B5" s="62" t="s">
        <v>42</v>
      </c>
      <c r="C5" s="22">
        <f>COUNTIF('DATOS GENERALES'!E:E,CALIBRACIONES!B5)</f>
        <v>10</v>
      </c>
      <c r="D5" s="62" t="s">
        <v>212</v>
      </c>
      <c r="E5" s="62"/>
    </row>
    <row r="6" spans="1:5" x14ac:dyDescent="0.3">
      <c r="A6" s="64">
        <v>4</v>
      </c>
      <c r="B6" s="62" t="s">
        <v>53</v>
      </c>
      <c r="C6" s="22">
        <f>COUNTIF('DATOS GENERALES'!E:E,CALIBRACIONES!B6)</f>
        <v>7</v>
      </c>
      <c r="D6" s="62" t="s">
        <v>215</v>
      </c>
      <c r="E6" s="62"/>
    </row>
    <row r="7" spans="1:5" x14ac:dyDescent="0.3">
      <c r="A7" s="64">
        <v>5</v>
      </c>
      <c r="B7" s="62" t="s">
        <v>38</v>
      </c>
      <c r="C7" s="22">
        <f>COUNTIF('DATOS GENERALES'!E:E,CALIBRACIONES!B7)</f>
        <v>12</v>
      </c>
      <c r="D7" s="62" t="s">
        <v>216</v>
      </c>
      <c r="E7" s="62"/>
    </row>
    <row r="8" spans="1:5" x14ac:dyDescent="0.3">
      <c r="A8" s="64">
        <v>6</v>
      </c>
      <c r="B8" s="62" t="s">
        <v>179</v>
      </c>
      <c r="C8" s="22">
        <f>COUNTIF('DATOS GENERALES'!E:E,CALIBRACIONES!B8)</f>
        <v>4</v>
      </c>
      <c r="D8" s="62" t="s">
        <v>217</v>
      </c>
      <c r="E8" s="62"/>
    </row>
    <row r="10" spans="1:5" x14ac:dyDescent="0.3">
      <c r="A10" s="65" t="s">
        <v>52</v>
      </c>
      <c r="B10" s="54"/>
      <c r="C10" s="66">
        <f>SUM(C3:C8)</f>
        <v>54</v>
      </c>
      <c r="D10">
        <v>45</v>
      </c>
    </row>
    <row r="11" spans="1:5" x14ac:dyDescent="0.3">
      <c r="C11" s="102">
        <f>D10*100%/55</f>
        <v>0.81818181818181823</v>
      </c>
      <c r="D11" s="103">
        <f>5/6</f>
        <v>0.83333333333333337</v>
      </c>
      <c r="E11">
        <f>C10/6</f>
        <v>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GENERALES</vt:lpstr>
      <vt:lpstr>MONTAJE </vt:lpstr>
      <vt:lpstr>CALIBRACIONES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CINTATEX</dc:creator>
  <cp:lastModifiedBy>PAUCAR GUALOTUÑA JHONNI ALEXANDER</cp:lastModifiedBy>
  <dcterms:created xsi:type="dcterms:W3CDTF">2026-07-02T15:22:00Z</dcterms:created>
  <dcterms:modified xsi:type="dcterms:W3CDTF">2026-09-15T02:32:38Z</dcterms:modified>
</cp:coreProperties>
</file>