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ni\Desktop\2026\ORDENES POR MESES\"/>
    </mc:Choice>
  </mc:AlternateContent>
  <xr:revisionPtr revIDLastSave="0" documentId="13_ncr:1_{06C602D4-8BCE-428A-BA25-BDD8BB7132FA}" xr6:coauthVersionLast="47" xr6:coauthVersionMax="47" xr10:uidLastSave="{00000000-0000-0000-0000-000000000000}"/>
  <bookViews>
    <workbookView xWindow="-108" yWindow="-108" windowWidth="23256" windowHeight="12456" xr2:uid="{8D15FAD3-5CB3-4271-9BC0-185F704E31E9}"/>
  </bookViews>
  <sheets>
    <sheet name="DATOS GENERALES" sheetId="1" r:id="rId1"/>
    <sheet name="MONTAJE " sheetId="3" r:id="rId2"/>
    <sheet name="CALIBRACION" sheetId="4" r:id="rId3"/>
  </sheets>
  <definedNames>
    <definedName name="_xlnm._FilterDatabase" localSheetId="0" hidden="1">'DATOS GENERALES'!$A$1:$AI$49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8" i="1" l="1"/>
  <c r="T48" i="1"/>
  <c r="AG36" i="1"/>
  <c r="AG35" i="1"/>
  <c r="AG12" i="1"/>
  <c r="K20" i="3"/>
  <c r="AG13" i="1"/>
  <c r="AF34" i="1"/>
  <c r="AG34" i="1"/>
  <c r="AG33" i="1"/>
  <c r="AF32" i="1"/>
  <c r="AG32" i="1"/>
  <c r="AG31" i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AG30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R30" i="1"/>
  <c r="Y30" i="1"/>
  <c r="Z30" i="1" s="1"/>
  <c r="F30" i="1"/>
  <c r="AF31" i="1" l="1"/>
  <c r="AH31" i="1" s="1"/>
  <c r="AH32" i="1"/>
  <c r="AF33" i="1"/>
  <c r="AH33" i="1" s="1"/>
  <c r="AH34" i="1"/>
  <c r="AF35" i="1"/>
  <c r="AH35" i="1" s="1"/>
  <c r="AF36" i="1"/>
  <c r="AH36" i="1" s="1"/>
  <c r="AF37" i="1"/>
  <c r="AH37" i="1" s="1"/>
  <c r="AF38" i="1"/>
  <c r="AH38" i="1" s="1"/>
  <c r="AF39" i="1"/>
  <c r="AH39" i="1" s="1"/>
  <c r="AF40" i="1"/>
  <c r="AH40" i="1" s="1"/>
  <c r="AF41" i="1"/>
  <c r="AH41" i="1" s="1"/>
  <c r="AF42" i="1"/>
  <c r="AH42" i="1" s="1"/>
  <c r="AF43" i="1"/>
  <c r="AH43" i="1" s="1"/>
  <c r="AF44" i="1"/>
  <c r="AH44" i="1" s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AF30" i="1"/>
  <c r="AH30" i="1" s="1"/>
  <c r="R29" i="1"/>
  <c r="Y29" i="1"/>
  <c r="Z29" i="1" s="1"/>
  <c r="F29" i="1" l="1"/>
  <c r="AF29" i="1" s="1"/>
  <c r="AH29" i="1" s="1"/>
  <c r="L29" i="1" l="1"/>
  <c r="L30" i="1"/>
  <c r="R23" i="1" l="1"/>
  <c r="R24" i="1"/>
  <c r="R25" i="1"/>
  <c r="R26" i="1"/>
  <c r="R27" i="1"/>
  <c r="R28" i="1"/>
  <c r="G23" i="1" l="1"/>
  <c r="AG21" i="1" l="1"/>
  <c r="C10" i="4" l="1"/>
  <c r="J57" i="3"/>
  <c r="I57" i="3"/>
  <c r="H57" i="3"/>
  <c r="G57" i="3"/>
  <c r="F57" i="3"/>
  <c r="E57" i="3"/>
  <c r="D57" i="3"/>
  <c r="C57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57" i="3" l="1"/>
  <c r="R18" i="1"/>
  <c r="R19" i="1"/>
  <c r="R20" i="1"/>
  <c r="R21" i="1"/>
  <c r="R22" i="1"/>
  <c r="AG9" i="1"/>
  <c r="L19" i="1" l="1"/>
  <c r="AG17" i="1" l="1"/>
  <c r="Y7" i="1"/>
  <c r="Y8" i="1"/>
  <c r="Z8" i="1" s="1"/>
  <c r="Y9" i="1"/>
  <c r="Z9" i="1" s="1"/>
  <c r="Y10" i="1"/>
  <c r="Y11" i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Z7" i="1"/>
  <c r="Z10" i="1"/>
  <c r="Z11" i="1"/>
  <c r="T18" i="1"/>
  <c r="T19" i="1"/>
  <c r="T20" i="1"/>
  <c r="T21" i="1"/>
  <c r="V11" i="1"/>
  <c r="V12" i="1"/>
  <c r="V13" i="1"/>
  <c r="V14" i="1"/>
  <c r="V15" i="1"/>
  <c r="V16" i="1"/>
  <c r="V17" i="1"/>
  <c r="T11" i="1"/>
  <c r="T12" i="1"/>
  <c r="T13" i="1"/>
  <c r="T14" i="1"/>
  <c r="T15" i="1"/>
  <c r="T16" i="1"/>
  <c r="T17" i="1"/>
  <c r="AF18" i="1" l="1"/>
  <c r="AH18" i="1" s="1"/>
  <c r="AF19" i="1"/>
  <c r="AH19" i="1" s="1"/>
  <c r="AF20" i="1"/>
  <c r="AH20" i="1" s="1"/>
  <c r="AF21" i="1"/>
  <c r="AH21" i="1" s="1"/>
  <c r="AF22" i="1"/>
  <c r="AH22" i="1" s="1"/>
  <c r="AF23" i="1"/>
  <c r="AH23" i="1" s="1"/>
  <c r="L18" i="1"/>
  <c r="L20" i="1"/>
  <c r="L21" i="1"/>
  <c r="L22" i="1"/>
  <c r="L23" i="1"/>
  <c r="AG4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2" i="1"/>
  <c r="AG6" i="1" l="1"/>
  <c r="AF13" i="1" l="1"/>
  <c r="AH13" i="1" s="1"/>
  <c r="AF47" i="1"/>
  <c r="AH47" i="1" s="1"/>
  <c r="AF14" i="1"/>
  <c r="AH14" i="1" s="1"/>
  <c r="AF15" i="1"/>
  <c r="AH15" i="1" s="1"/>
  <c r="AF16" i="1"/>
  <c r="AH16" i="1" s="1"/>
  <c r="AF17" i="1"/>
  <c r="AH17" i="1" s="1"/>
  <c r="AF24" i="1"/>
  <c r="AH24" i="1" s="1"/>
  <c r="AF25" i="1"/>
  <c r="AH25" i="1" s="1"/>
  <c r="AF26" i="1"/>
  <c r="AH26" i="1" s="1"/>
  <c r="AF27" i="1"/>
  <c r="AH27" i="1" s="1"/>
  <c r="R13" i="1"/>
  <c r="R47" i="1"/>
  <c r="R14" i="1"/>
  <c r="R15" i="1"/>
  <c r="R16" i="1"/>
  <c r="R17" i="1"/>
  <c r="AF12" i="1" l="1"/>
  <c r="L13" i="1"/>
  <c r="L47" i="1"/>
  <c r="L14" i="1"/>
  <c r="L15" i="1"/>
  <c r="L16" i="1"/>
  <c r="L17" i="1"/>
  <c r="L24" i="1"/>
  <c r="L25" i="1"/>
  <c r="L26" i="1"/>
  <c r="L27" i="1"/>
  <c r="AG2" i="1" l="1"/>
  <c r="AG10" i="1" l="1"/>
  <c r="AG5" i="1" l="1"/>
  <c r="AG46" i="1" l="1"/>
  <c r="L3" i="1"/>
  <c r="L4" i="1"/>
  <c r="L5" i="1"/>
  <c r="L6" i="1"/>
  <c r="L7" i="1"/>
  <c r="L8" i="1"/>
  <c r="L46" i="1"/>
  <c r="L9" i="1"/>
  <c r="L10" i="1"/>
  <c r="L11" i="1"/>
  <c r="L12" i="1"/>
  <c r="L28" i="1"/>
  <c r="L44" i="1"/>
  <c r="L48" i="1"/>
  <c r="L49" i="1"/>
  <c r="AF4" i="1"/>
  <c r="AH4" i="1" s="1"/>
  <c r="AF5" i="1"/>
  <c r="AH5" i="1" s="1"/>
  <c r="AF6" i="1"/>
  <c r="AF7" i="1"/>
  <c r="AF8" i="1"/>
  <c r="AH8" i="1" s="1"/>
  <c r="AF46" i="1"/>
  <c r="AH46" i="1" s="1"/>
  <c r="AF9" i="1"/>
  <c r="AH9" i="1" s="1"/>
  <c r="AF10" i="1"/>
  <c r="AH10" i="1" s="1"/>
  <c r="AF11" i="1"/>
  <c r="AH11" i="1" s="1"/>
  <c r="AF28" i="1"/>
  <c r="AH28" i="1" s="1"/>
  <c r="AF48" i="1"/>
  <c r="AH48" i="1" s="1"/>
  <c r="AF49" i="1"/>
  <c r="AH49" i="1" s="1"/>
  <c r="AH6" i="1"/>
  <c r="AH7" i="1"/>
  <c r="AH12" i="1"/>
  <c r="T5" i="1"/>
  <c r="V5" i="1"/>
  <c r="Y5" i="1"/>
  <c r="Z5" i="1" s="1"/>
  <c r="T6" i="1"/>
  <c r="V6" i="1"/>
  <c r="Y6" i="1"/>
  <c r="Z6" i="1" s="1"/>
  <c r="T7" i="1"/>
  <c r="V7" i="1"/>
  <c r="T8" i="1"/>
  <c r="V8" i="1"/>
  <c r="T47" i="1"/>
  <c r="V46" i="1"/>
  <c r="X46" i="1"/>
  <c r="Y46" i="1"/>
  <c r="Z46" i="1" s="1"/>
  <c r="T9" i="1"/>
  <c r="V9" i="1"/>
  <c r="T10" i="1"/>
  <c r="V10" i="1"/>
  <c r="V48" i="1"/>
  <c r="Y48" i="1"/>
  <c r="T49" i="1"/>
  <c r="V49" i="1"/>
  <c r="Y49" i="1"/>
  <c r="R4" i="1"/>
  <c r="R5" i="1"/>
  <c r="R6" i="1"/>
  <c r="R7" i="1"/>
  <c r="R8" i="1"/>
  <c r="R46" i="1"/>
  <c r="R9" i="1"/>
  <c r="R10" i="1"/>
  <c r="R11" i="1"/>
  <c r="R12" i="1"/>
  <c r="R49" i="1"/>
  <c r="Y4" i="1"/>
  <c r="Z4" i="1" s="1"/>
  <c r="V4" i="1"/>
  <c r="T4" i="1"/>
  <c r="Y3" i="1" l="1"/>
  <c r="Z3" i="1" s="1"/>
  <c r="V3" i="1"/>
  <c r="T3" i="1"/>
  <c r="R3" i="1"/>
  <c r="F3" i="1"/>
  <c r="AF2" i="1"/>
  <c r="AH2" i="1" s="1"/>
  <c r="Y2" i="1"/>
  <c r="Z2" i="1" s="1"/>
  <c r="V2" i="1"/>
  <c r="T2" i="1"/>
  <c r="R2" i="1"/>
  <c r="L2" i="1"/>
  <c r="AF3" i="1" l="1"/>
  <c r="AH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CINTATEX</author>
  </authors>
  <commentList>
    <comment ref="A16" authorId="0" shapeId="0" xr:uid="{66413D3E-450A-41DD-A799-330749604670}">
      <text>
        <r>
          <rPr>
            <b/>
            <sz val="9"/>
            <color indexed="81"/>
            <rFont val="Tahoma"/>
            <family val="2"/>
          </rPr>
          <t>CINTATEX:</t>
        </r>
        <r>
          <rPr>
            <sz val="9"/>
            <color indexed="81"/>
            <rFont val="Tahoma"/>
            <family val="2"/>
          </rPr>
          <t xml:space="preserve">
COJIENDO CRUZERO </t>
        </r>
      </text>
    </comment>
  </commentList>
</comments>
</file>

<file path=xl/sharedStrings.xml><?xml version="1.0" encoding="utf-8"?>
<sst xmlns="http://schemas.openxmlformats.org/spreadsheetml/2006/main" count="387" uniqueCount="230">
  <si>
    <t>DETALLE</t>
  </si>
  <si>
    <t>MAQUINA</t>
  </si>
  <si>
    <t>PRODUCTO</t>
  </si>
  <si>
    <t>CALIBRACION</t>
  </si>
  <si>
    <t>MTS PEDIDO</t>
  </si>
  <si>
    <t>MTS PRODUCCION</t>
  </si>
  <si>
    <t>MTS FACRURADOS</t>
  </si>
  <si>
    <t>STOCK</t>
  </si>
  <si>
    <t>MTS FALLA</t>
  </si>
  <si>
    <t>KG DE FALLA</t>
  </si>
  <si>
    <t>% FALLA</t>
  </si>
  <si>
    <t>EFICIENCIA MAQUINA</t>
  </si>
  <si>
    <t>INGRESO</t>
  </si>
  <si>
    <t>APROBACION</t>
  </si>
  <si>
    <t>INICIO PRODUCCION EN MAQUINA</t>
  </si>
  <si>
    <t xml:space="preserve">FECHA URDIDO </t>
  </si>
  <si>
    <t>DIAS</t>
  </si>
  <si>
    <t>FIN PRODUCCION</t>
  </si>
  <si>
    <t>FECHA FIN ENVOLTURA</t>
  </si>
  <si>
    <t>FECHA DE FACTURACION</t>
  </si>
  <si>
    <t xml:space="preserve">DIAS TOTAL DE ENTREGA </t>
  </si>
  <si>
    <t xml:space="preserve">EFICIENCIA DE ENTREGA </t>
  </si>
  <si>
    <t>ESTADO</t>
  </si>
  <si>
    <t xml:space="preserve">CLIENTE </t>
  </si>
  <si>
    <t>MTS X HORA</t>
  </si>
  <si>
    <t>TIRAS</t>
  </si>
  <si>
    <t>HORARIO 10/24H</t>
  </si>
  <si>
    <t xml:space="preserve">DIAS ESTANDAR DE PRODUCCION </t>
  </si>
  <si>
    <t xml:space="preserve">DIAS REALES DE PRODUCCION </t>
  </si>
  <si>
    <t>FECHA REAL FINAL PRODUCCION</t>
  </si>
  <si>
    <t>OBSERVACIONES</t>
  </si>
  <si>
    <t>REATA</t>
  </si>
  <si>
    <t>JAVIER</t>
  </si>
  <si>
    <t xml:space="preserve">OP57 AGOS </t>
  </si>
  <si>
    <t xml:space="preserve">REATA ZEBRA  POLIESTER 10MM </t>
  </si>
  <si>
    <t>KY#2</t>
  </si>
  <si>
    <t>TEJEDURIA</t>
  </si>
  <si>
    <t xml:space="preserve">TUSA ISABEL </t>
  </si>
  <si>
    <t>OP54 55 AGOS</t>
  </si>
  <si>
    <t xml:space="preserve">REATA SANDALIA EMPALMADA FRANJA CENTRAL LUREX 20MM </t>
  </si>
  <si>
    <t>KY#12</t>
  </si>
  <si>
    <t xml:space="preserve">REATA </t>
  </si>
  <si>
    <t>OSCAR</t>
  </si>
  <si>
    <t>IMPORTIZ</t>
  </si>
  <si>
    <t>ORDENES DE PRODUCCION SEPTIEMBRE</t>
  </si>
  <si>
    <t xml:space="preserve">OP56 AGOS </t>
  </si>
  <si>
    <t xml:space="preserve">REATA CINTURON KOREANA 25MM </t>
  </si>
  <si>
    <t>JAQ#5</t>
  </si>
  <si>
    <t>FAME</t>
  </si>
  <si>
    <t xml:space="preserve">OP44 AGOS </t>
  </si>
  <si>
    <t>REATA CONFECCION EMPALMADA GRUESA W PES 15MM</t>
  </si>
  <si>
    <t>KY#9</t>
  </si>
  <si>
    <t>JESSICA</t>
  </si>
  <si>
    <t xml:space="preserve">MARTA MONTESINOS </t>
  </si>
  <si>
    <t xml:space="preserve">OP02 SEP </t>
  </si>
  <si>
    <t>REATA SANDALIA EMPALMADA C/A PES RT755 12MM</t>
  </si>
  <si>
    <t>KY#14</t>
  </si>
  <si>
    <t>OP18 SEP</t>
  </si>
  <si>
    <t>CORDON RACHEL 10MM</t>
  </si>
  <si>
    <t>CORDON</t>
  </si>
  <si>
    <t>CABEZAS RAMIREZ MARIA TERESA</t>
  </si>
  <si>
    <t xml:space="preserve">OP50 AGOS </t>
  </si>
  <si>
    <t xml:space="preserve">ELASTICO ZAPATO REFORZADO 10MM </t>
  </si>
  <si>
    <t>TELAR #18</t>
  </si>
  <si>
    <t>TELAR#1</t>
  </si>
  <si>
    <t xml:space="preserve">ELASTICO </t>
  </si>
  <si>
    <t>JOSE</t>
  </si>
  <si>
    <t xml:space="preserve">TUSA ISABEL /CRIOLLO CRISTIAN </t>
  </si>
  <si>
    <t>39-40 AGOS</t>
  </si>
  <si>
    <t>REATA ZAPATO DELGADA 20MM - 15MM</t>
  </si>
  <si>
    <t>TELAR #17</t>
  </si>
  <si>
    <t xml:space="preserve">TERMINADO </t>
  </si>
  <si>
    <t>OP52 AGO</t>
  </si>
  <si>
    <t>REATA MOCHILA CORREA DELGADA 25MM</t>
  </si>
  <si>
    <t>TELAR #3</t>
  </si>
  <si>
    <t xml:space="preserve">                          STOCK</t>
  </si>
  <si>
    <t>OP01 SEP</t>
  </si>
  <si>
    <t>REATA SANDALI GRUESA 2 CANALES 30MM</t>
  </si>
  <si>
    <t>TELAR #15</t>
  </si>
  <si>
    <t>JOSE/JAVIER</t>
  </si>
  <si>
    <t>MONTESINOSMLOZANO</t>
  </si>
  <si>
    <t>OP25 SEP</t>
  </si>
  <si>
    <t>REATA TAFETA EMPALMADA COLCHON 42MM</t>
  </si>
  <si>
    <t>JAQ#3</t>
  </si>
  <si>
    <t>REARA</t>
  </si>
  <si>
    <t>PARAISO</t>
  </si>
  <si>
    <t>OP29 SEP</t>
  </si>
  <si>
    <t>ELASTICO ZAPATO REFORXADO 15MM</t>
  </si>
  <si>
    <t>JAQ#4</t>
  </si>
  <si>
    <t xml:space="preserve">OSCAR CLAUDIO </t>
  </si>
  <si>
    <t>NUNEZ ACOSTA</t>
  </si>
  <si>
    <t>OP51 AGO</t>
  </si>
  <si>
    <t>REATA MOCHILA DELGADA 15MM</t>
  </si>
  <si>
    <t>JAQ#10</t>
  </si>
  <si>
    <t xml:space="preserve">CRIOLLO SAILEMA </t>
  </si>
  <si>
    <t>OP24-01 AGO</t>
  </si>
  <si>
    <t>ELASTICO CONFECCION FAJAS MEDICAS NYLON 25MM</t>
  </si>
  <si>
    <t>JAQ#13</t>
  </si>
  <si>
    <t>STOCK ING PAUL</t>
  </si>
  <si>
    <t>TUSA TANIA</t>
  </si>
  <si>
    <t>OP31 AGO</t>
  </si>
  <si>
    <t>ELASTICO CONFECCION BOSTON</t>
  </si>
  <si>
    <t>JAQ#2</t>
  </si>
  <si>
    <t>CINTEXPOR</t>
  </si>
  <si>
    <t>ELASTICO</t>
  </si>
  <si>
    <t>OP28 SEP</t>
  </si>
  <si>
    <t>ELASTICO SESGO JAQ 10MM</t>
  </si>
  <si>
    <t>MONTAJE</t>
  </si>
  <si>
    <t>RODRIGUEZ ARRIECHE ALEJANDRA BEATRIZ</t>
  </si>
  <si>
    <t>OP45 SEP</t>
  </si>
  <si>
    <t>REATA MOCHILA GRUESA TUBULAR PJAL FDY 20MM</t>
  </si>
  <si>
    <t>OP49 AGO</t>
  </si>
  <si>
    <t>REATA CONFECCION EMPALMADA CO 10MM</t>
  </si>
  <si>
    <t>TELAR 6</t>
  </si>
  <si>
    <t>IMTEXMEL</t>
  </si>
  <si>
    <t>OP21 SEP</t>
  </si>
  <si>
    <t>REATA SANDALIA TUBULAR JAQ 35MM</t>
  </si>
  <si>
    <t>JAQ#6</t>
  </si>
  <si>
    <t>ALFOZO ZAMBRANO</t>
  </si>
  <si>
    <t>OP27 AGO</t>
  </si>
  <si>
    <t>ELASTICO BOSTON</t>
  </si>
  <si>
    <t>JAQ#8</t>
  </si>
  <si>
    <t>LA MAQUINA SE PARO A CADA RATO POR HILOS FLOJOS/ TERMINO DE URDIR EL 04-09 Y EL 10-09 SE URDIO LA DIFERENCIA</t>
  </si>
  <si>
    <t>OP26 AGO</t>
  </si>
  <si>
    <t>JAQ# 17</t>
  </si>
  <si>
    <t>OP38 SEP</t>
  </si>
  <si>
    <t>REATA ZAPATO TAFETA DELGADA 10MM</t>
  </si>
  <si>
    <t xml:space="preserve">ORDEN </t>
  </si>
  <si>
    <t xml:space="preserve">AMPARO </t>
  </si>
  <si>
    <t>EVELYN</t>
  </si>
  <si>
    <t xml:space="preserve">JAVIER </t>
  </si>
  <si>
    <t xml:space="preserve">OSCAR </t>
  </si>
  <si>
    <t xml:space="preserve">CLAUDIO </t>
  </si>
  <si>
    <t>CALIBRACION MES DE JULIO</t>
  </si>
  <si>
    <t>N</t>
  </si>
  <si>
    <t>NOMBRE</t>
  </si>
  <si>
    <t>NUMERO DE VECES</t>
  </si>
  <si>
    <t xml:space="preserve">ARTICULO </t>
  </si>
  <si>
    <t xml:space="preserve">OBSERVACIONES </t>
  </si>
  <si>
    <t>CARLOS</t>
  </si>
  <si>
    <t xml:space="preserve">TOTAL </t>
  </si>
  <si>
    <t>NUNEZ ACOSTA RAUL</t>
  </si>
  <si>
    <t>OP33-35 SEP</t>
  </si>
  <si>
    <t>REATA CONFECCION EMPALMADA REF PES 10MM</t>
  </si>
  <si>
    <t>TELAR #19</t>
  </si>
  <si>
    <t>2 REATA</t>
  </si>
  <si>
    <t>JESSICA-OSCAR</t>
  </si>
  <si>
    <t>OP49 SEP</t>
  </si>
  <si>
    <t>ELASTICO CONFECCION REF 40MM</t>
  </si>
  <si>
    <t>TELAR #11</t>
  </si>
  <si>
    <t>JESSICA-CARLOS LEMA</t>
  </si>
  <si>
    <t>TECTIRUTH</t>
  </si>
  <si>
    <t>OP44 SEP</t>
  </si>
  <si>
    <t>ELASTICO CONFECCION FAJAS MEDICAS NYLON JAQ 30MM (MIA)</t>
  </si>
  <si>
    <t>JAQ #6</t>
  </si>
  <si>
    <t>GARCIA GONZALES INDIRA</t>
  </si>
  <si>
    <t>OP29 AGO</t>
  </si>
  <si>
    <t>JAQ #9</t>
  </si>
  <si>
    <t>OP04 SEP</t>
  </si>
  <si>
    <t>ELASTICO CONFECCION CROCHET 200MM</t>
  </si>
  <si>
    <t>TELAR #10</t>
  </si>
  <si>
    <t>TEXTIRUTH</t>
  </si>
  <si>
    <t>OP47 SEP</t>
  </si>
  <si>
    <t>REATA CONFECCION EMPALMADA SPUN 15MM</t>
  </si>
  <si>
    <t>TELAR #6</t>
  </si>
  <si>
    <t>INJECTOSOLE</t>
  </si>
  <si>
    <t>OP20 SEP</t>
  </si>
  <si>
    <t>REATA CONFECCION ZARGA COLCHON 37MM</t>
  </si>
  <si>
    <t>TELAR #7</t>
  </si>
  <si>
    <t>JESSICA-AMPARO</t>
  </si>
  <si>
    <t>SICOMATTRESS</t>
  </si>
  <si>
    <t>OP15-23-16 SEP</t>
  </si>
  <si>
    <t>ELASTICO ZAPATO HEBILLERO 8MM 12MM 10MM</t>
  </si>
  <si>
    <t>TELAR #9</t>
  </si>
  <si>
    <t>CLAUDIO</t>
  </si>
  <si>
    <t>ACABADOS</t>
  </si>
  <si>
    <t>MATUTE ZANDRA</t>
  </si>
  <si>
    <t>OP16-23-15 SEP</t>
  </si>
  <si>
    <t>OP03 AGO</t>
  </si>
  <si>
    <t>OP03-04 AGO</t>
  </si>
  <si>
    <t>REATA MOCHILA DELGADA 15MM - 10MM</t>
  </si>
  <si>
    <t>JAQ #10</t>
  </si>
  <si>
    <t>FANDINO JENNIFER</t>
  </si>
  <si>
    <t>OP37 SEP</t>
  </si>
  <si>
    <t>REATA CONFECCION TAFETA GRUESA NYLON 16MM</t>
  </si>
  <si>
    <t>TELAR #14</t>
  </si>
  <si>
    <t>3 ELASTICO, 3 REATAS</t>
  </si>
  <si>
    <t>OP35,36,36-01 AGO/OP10 SEP</t>
  </si>
  <si>
    <t>REATA ZAPATO TAFETA DELGADA 10MM - 15MM</t>
  </si>
  <si>
    <t>TELAR# 17</t>
  </si>
  <si>
    <t>LA MAQUINA ESTUBO EN MANTENIMIENTO PARADA POR 13 DIAS</t>
  </si>
  <si>
    <t>CRIOLLO SAILEMA CHRISTIAN</t>
  </si>
  <si>
    <t>LA MAQUINA SE DEMORO PORQUE SE ESTABA PONIENDO ORILLO</t>
  </si>
  <si>
    <t>OP10 SEP OP35,36,36-01 AGO</t>
  </si>
  <si>
    <t>OP11-12-13-17  SEP</t>
  </si>
  <si>
    <t>TELAR 17</t>
  </si>
  <si>
    <t>TIENE TIRAS CON FALLA Y LOS HILOS FLOJOS</t>
  </si>
  <si>
    <t>OP11,12,13,17 SEP</t>
  </si>
  <si>
    <t>OP58 AGO</t>
  </si>
  <si>
    <t>REATA CONFECCION EMPALMADA DELGADA W 7MM</t>
  </si>
  <si>
    <t>SE CAMBIARON LOS MODULOS DE LA MAQUINA YA QUE ESTABAN DAÑADOS</t>
  </si>
  <si>
    <t>OP32 SEP</t>
  </si>
  <si>
    <t>REATA MOCHILA DELGADA 20MM</t>
  </si>
  <si>
    <t>JAQ 10</t>
  </si>
  <si>
    <t>OP45-01 SEP</t>
  </si>
  <si>
    <t>REATA MOCHILA TUBULAR OJAL 20MM</t>
  </si>
  <si>
    <t>JAQ #5</t>
  </si>
  <si>
    <t>AMPARO</t>
  </si>
  <si>
    <t>BURI CARAGUAY VICTOR</t>
  </si>
  <si>
    <t>OP27 SEP</t>
  </si>
  <si>
    <t>REATA CONFECCION TAFETA EMPALMADA COLCHON 42MM</t>
  </si>
  <si>
    <t>OP03 SEP</t>
  </si>
  <si>
    <t>ELASTICO CONFECCION REFORZADO 40MM</t>
  </si>
  <si>
    <t>ELASTICOI</t>
  </si>
  <si>
    <t>PAUL</t>
  </si>
  <si>
    <t>OP16 AGO</t>
  </si>
  <si>
    <t>CORDON PLANO 88PP</t>
  </si>
  <si>
    <t>TELAR #16</t>
  </si>
  <si>
    <t>LA TRAMA SE ROMPRE A CADA RATO</t>
  </si>
  <si>
    <t>OP48 AGO</t>
  </si>
  <si>
    <t>REATA SANDALIA TUBULAR ACANALADA S/A 20MM</t>
  </si>
  <si>
    <t>OP50 AGO</t>
  </si>
  <si>
    <t>JESSICA/CLAUDIO</t>
  </si>
  <si>
    <t>2 ELASTICO, 3 REATA, 1 CORDON</t>
  </si>
  <si>
    <t>5 REATA, 3 ELASTICO</t>
  </si>
  <si>
    <t>EL ALMA SE ENREDA A CADA RATO Y LOS HILOS ESTAN FLOJOS - SE HACEN MOTAS</t>
  </si>
  <si>
    <t>OP55-54 AGO</t>
  </si>
  <si>
    <t>VICTOR BURI</t>
  </si>
  <si>
    <t>5 REATA</t>
  </si>
  <si>
    <t>7 REATA, 2 ELASTICO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</si>
</sst>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entury Gothic"/>
      <family val="2"/>
    </font>
    <font>
      <b/>
      <sz val="9"/>
      <color theme="0"/>
      <name val="Century Gothic"/>
      <family val="2"/>
    </font>
    <font>
      <b/>
      <sz val="10"/>
      <color theme="1"/>
      <name val="Century Gothic"/>
      <family val="2"/>
    </font>
    <font>
      <b/>
      <sz val="10"/>
      <color theme="2"/>
      <name val="Century Gothic"/>
      <family val="2"/>
    </font>
    <font>
      <sz val="8"/>
      <color theme="1"/>
      <name val="Century Gothic"/>
      <family val="2"/>
    </font>
    <font>
      <sz val="10"/>
      <color theme="1"/>
      <name val="Century Gothic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9" fontId="2" fillId="7" borderId="1" xfId="1" applyFont="1" applyFill="1" applyBorder="1" applyAlignment="1">
      <alignment horizontal="center" vertical="center" wrapText="1"/>
    </xf>
    <xf numFmtId="9" fontId="2" fillId="8" borderId="1" xfId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9" fontId="7" fillId="0" borderId="1" xfId="1" applyFont="1" applyBorder="1" applyAlignment="1">
      <alignment horizontal="center" vertical="center"/>
    </xf>
    <xf numFmtId="9" fontId="7" fillId="0" borderId="1" xfId="1" applyFont="1" applyBorder="1" applyAlignment="1">
      <alignment horizontal="center"/>
    </xf>
    <xf numFmtId="14" fontId="7" fillId="0" borderId="1" xfId="0" applyNumberFormat="1" applyFont="1" applyBorder="1"/>
    <xf numFmtId="14" fontId="7" fillId="15" borderId="1" xfId="0" applyNumberFormat="1" applyFont="1" applyFill="1" applyBorder="1"/>
    <xf numFmtId="0" fontId="7" fillId="15" borderId="1" xfId="0" applyFont="1" applyFill="1" applyBorder="1" applyAlignment="1">
      <alignment horizontal="center" vertical="center"/>
    </xf>
    <xf numFmtId="14" fontId="7" fillId="16" borderId="1" xfId="0" applyNumberFormat="1" applyFont="1" applyFill="1" applyBorder="1"/>
    <xf numFmtId="0" fontId="7" fillId="16" borderId="1" xfId="0" applyFont="1" applyFill="1" applyBorder="1" applyAlignment="1">
      <alignment horizontal="center" vertical="center"/>
    </xf>
    <xf numFmtId="14" fontId="7" fillId="17" borderId="1" xfId="0" applyNumberFormat="1" applyFont="1" applyFill="1" applyBorder="1"/>
    <xf numFmtId="0" fontId="7" fillId="17" borderId="1" xfId="0" applyFont="1" applyFill="1" applyBorder="1" applyAlignment="1">
      <alignment horizontal="center" vertical="center"/>
    </xf>
    <xf numFmtId="14" fontId="7" fillId="18" borderId="1" xfId="0" applyNumberFormat="1" applyFont="1" applyFill="1" applyBorder="1"/>
    <xf numFmtId="0" fontId="7" fillId="18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0" fontId="7" fillId="0" borderId="0" xfId="0" applyFont="1"/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Fill="1" applyBorder="1"/>
    <xf numFmtId="0" fontId="0" fillId="0" borderId="1" xfId="0" applyBorder="1"/>
    <xf numFmtId="0" fontId="8" fillId="0" borderId="1" xfId="2" applyFill="1" applyBorder="1"/>
    <xf numFmtId="0" fontId="7" fillId="0" borderId="1" xfId="0" applyFont="1" applyFill="1" applyBorder="1" applyAlignment="1">
      <alignment horizontal="center"/>
    </xf>
    <xf numFmtId="14" fontId="0" fillId="0" borderId="1" xfId="0" applyNumberFormat="1" applyBorder="1"/>
    <xf numFmtId="0" fontId="8" fillId="0" borderId="1" xfId="2" applyBorder="1"/>
    <xf numFmtId="0" fontId="0" fillId="0" borderId="1" xfId="0" applyBorder="1" applyAlignment="1">
      <alignment horizontal="center"/>
    </xf>
    <xf numFmtId="0" fontId="10" fillId="20" borderId="1" xfId="0" applyFont="1" applyFill="1" applyBorder="1" applyAlignment="1">
      <alignment horizontal="center" vertical="center"/>
    </xf>
    <xf numFmtId="0" fontId="8" fillId="0" borderId="1" xfId="2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0" borderId="1" xfId="2" applyBorder="1" applyAlignment="1">
      <alignment horizontal="left" vertical="center"/>
    </xf>
    <xf numFmtId="16" fontId="8" fillId="0" borderId="1" xfId="2" applyNumberFormat="1" applyBorder="1" applyAlignment="1">
      <alignment horizontal="left" vertical="center"/>
    </xf>
    <xf numFmtId="1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14" borderId="0" xfId="0" applyFill="1"/>
    <xf numFmtId="0" fontId="10" fillId="15" borderId="2" xfId="0" applyFont="1" applyFill="1" applyBorder="1"/>
    <xf numFmtId="0" fontId="10" fillId="15" borderId="3" xfId="0" applyFont="1" applyFill="1" applyBorder="1"/>
    <xf numFmtId="0" fontId="10" fillId="15" borderId="4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9" fillId="19" borderId="2" xfId="0" applyFont="1" applyFill="1" applyBorder="1" applyAlignment="1">
      <alignment horizontal="left"/>
    </xf>
    <xf numFmtId="0" fontId="9" fillId="19" borderId="3" xfId="0" applyFont="1" applyFill="1" applyBorder="1" applyAlignment="1">
      <alignment horizontal="left"/>
    </xf>
    <xf numFmtId="0" fontId="9" fillId="19" borderId="4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8" fillId="14" borderId="1" xfId="2" applyFill="1" applyBorder="1" applyAlignment="1">
      <alignment horizontal="left" vertical="center"/>
    </xf>
    <xf numFmtId="0" fontId="0" fillId="14" borderId="1" xfId="0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MONTAJE</a:t>
            </a:r>
            <a:r>
              <a:rPr lang="es-EC" baseline="0"/>
              <a:t> #DE TIRAS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'MONTAJE '!$C$1:$J$1</c:f>
              <c:strCache>
                <c:ptCount val="8"/>
                <c:pt idx="0">
                  <c:v>AMPARO </c:v>
                </c:pt>
                <c:pt idx="1">
                  <c:v>EVELYN</c:v>
                </c:pt>
                <c:pt idx="2">
                  <c:v>JAVIER </c:v>
                </c:pt>
                <c:pt idx="3">
                  <c:v>JESSICA</c:v>
                </c:pt>
                <c:pt idx="4">
                  <c:v>OSCAR </c:v>
                </c:pt>
                <c:pt idx="5">
                  <c:v>PAUL</c:v>
                </c:pt>
                <c:pt idx="6">
                  <c:v>CLAUDIO </c:v>
                </c:pt>
                <c:pt idx="7">
                  <c:v>JOSE</c:v>
                </c:pt>
              </c:strCache>
            </c:strRef>
          </c:cat>
          <c:val>
            <c:numRef>
              <c:f>'MONTAJE '!$C$57:$J$57</c:f>
              <c:numCache>
                <c:formatCode>General</c:formatCode>
                <c:ptCount val="8"/>
                <c:pt idx="0">
                  <c:v>65.5</c:v>
                </c:pt>
                <c:pt idx="1">
                  <c:v>46</c:v>
                </c:pt>
                <c:pt idx="2">
                  <c:v>0</c:v>
                </c:pt>
                <c:pt idx="3">
                  <c:v>44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6-4A7B-8597-B6CD12536DF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24697247"/>
        <c:axId val="224696831"/>
      </c:barChart>
      <c:catAx>
        <c:axId val="2246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224696831"/>
        <c:crosses val="autoZero"/>
        <c:auto val="1"/>
        <c:lblAlgn val="ctr"/>
        <c:lblOffset val="100"/>
        <c:noMultiLvlLbl val="0"/>
      </c:catAx>
      <c:valAx>
        <c:axId val="224696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469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CALIBRACIONES</a:t>
            </a:r>
            <a:r>
              <a:rPr lang="es-EC" baseline="0"/>
              <a:t> MES DE AGOSTO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CALIBRACION!$B$3:$B$9</c:f>
              <c:strCache>
                <c:ptCount val="7"/>
                <c:pt idx="0">
                  <c:v>CARLOS</c:v>
                </c:pt>
                <c:pt idx="1">
                  <c:v>OSCAR</c:v>
                </c:pt>
                <c:pt idx="2">
                  <c:v>JOSE</c:v>
                </c:pt>
                <c:pt idx="3">
                  <c:v>CLAUDIO </c:v>
                </c:pt>
                <c:pt idx="4">
                  <c:v>JAVIER</c:v>
                </c:pt>
                <c:pt idx="5">
                  <c:v>AMPARO</c:v>
                </c:pt>
                <c:pt idx="6">
                  <c:v>JESSICA</c:v>
                </c:pt>
              </c:strCache>
            </c:strRef>
          </c:cat>
          <c:val>
            <c:numRef>
              <c:f>CALIBRACION!$C$3:$C$9</c:f>
              <c:numCache>
                <c:formatCode>General</c:formatCode>
                <c:ptCount val="7"/>
                <c:pt idx="0">
                  <c:v>6</c:v>
                </c:pt>
                <c:pt idx="1">
                  <c:v>9</c:v>
                </c:pt>
                <c:pt idx="2">
                  <c:v>5</c:v>
                </c:pt>
                <c:pt idx="3">
                  <c:v>6</c:v>
                </c:pt>
                <c:pt idx="5">
                  <c:v>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D-40A6-BCF7-CEFDEB650A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440677024"/>
        <c:axId val="-1440683008"/>
      </c:barChart>
      <c:catAx>
        <c:axId val="-144067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40683008"/>
        <c:crosses val="autoZero"/>
        <c:auto val="1"/>
        <c:lblAlgn val="ctr"/>
        <c:lblOffset val="100"/>
        <c:noMultiLvlLbl val="0"/>
      </c:catAx>
      <c:valAx>
        <c:axId val="-14406830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44067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57</xdr:row>
      <xdr:rowOff>139065</xdr:rowOff>
    </xdr:from>
    <xdr:to>
      <xdr:col>10</xdr:col>
      <xdr:colOff>0</xdr:colOff>
      <xdr:row>70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BDAF98-A17D-430D-8C76-49D19C8E2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3</xdr:row>
      <xdr:rowOff>14287</xdr:rowOff>
    </xdr:from>
    <xdr:to>
      <xdr:col>11</xdr:col>
      <xdr:colOff>422910</xdr:colOff>
      <xdr:row>18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0F46BB-B68B-4443-A049-1AF97F199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TELARES%20Y%20JAQ\KY3.xlsx" TargetMode="External"/><Relationship Id="rId13" Type="http://schemas.openxmlformats.org/officeDocument/2006/relationships/hyperlink" Target="..\TELARES%20Y%20JAQ\JAQ13.xlsx" TargetMode="External"/><Relationship Id="rId3" Type="http://schemas.openxmlformats.org/officeDocument/2006/relationships/hyperlink" Target="..\TELARES%20Y%20JAQ\JAQ5.xlsx" TargetMode="External"/><Relationship Id="rId7" Type="http://schemas.openxmlformats.org/officeDocument/2006/relationships/hyperlink" Target="..\TELARES%20Y%20JAQ\KY18.xlsx" TargetMode="External"/><Relationship Id="rId12" Type="http://schemas.openxmlformats.org/officeDocument/2006/relationships/hyperlink" Target="..\TELARES%20Y%20JAQ\JAQ4.xlsx" TargetMode="External"/><Relationship Id="rId2" Type="http://schemas.openxmlformats.org/officeDocument/2006/relationships/hyperlink" Target="..\TELARES%20Y%20JAQ\KY12.xlsx" TargetMode="External"/><Relationship Id="rId1" Type="http://schemas.openxmlformats.org/officeDocument/2006/relationships/hyperlink" Target="..\TELARES%20Y%20JAQ\KY2.xlsx" TargetMode="External"/><Relationship Id="rId6" Type="http://schemas.openxmlformats.org/officeDocument/2006/relationships/hyperlink" Target="..\TELARES%20Y%20JAQ\KY17.xlsx" TargetMode="External"/><Relationship Id="rId11" Type="http://schemas.openxmlformats.org/officeDocument/2006/relationships/hyperlink" Target="..\TELARES%20Y%20JAQ\JAQ10.xlsx" TargetMode="External"/><Relationship Id="rId5" Type="http://schemas.openxmlformats.org/officeDocument/2006/relationships/hyperlink" Target="..\TELARES%20Y%20JAQ\KY14.xlsx" TargetMode="External"/><Relationship Id="rId10" Type="http://schemas.openxmlformats.org/officeDocument/2006/relationships/hyperlink" Target="..\TELARES%20Y%20JAQ\KY15.xlsx" TargetMode="External"/><Relationship Id="rId4" Type="http://schemas.openxmlformats.org/officeDocument/2006/relationships/hyperlink" Target="..\TELARES%20Y%20JAQ\KY9.xlsx" TargetMode="External"/><Relationship Id="rId9" Type="http://schemas.openxmlformats.org/officeDocument/2006/relationships/hyperlink" Target="..\TELARES%20Y%20JAQ\KY1%20-RACHELLL.xlsx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3D90-E25B-47CC-A1ED-22A0FDF05D86}">
  <dimension ref="A1:AI58"/>
  <sheetViews>
    <sheetView tabSelected="1" zoomScale="58" zoomScaleNormal="58" workbookViewId="0">
      <selection activeCell="AA29" sqref="A29:AA29"/>
    </sheetView>
  </sheetViews>
  <sheetFormatPr baseColWidth="10" defaultRowHeight="14.4" x14ac:dyDescent="0.3"/>
  <cols>
    <col min="1" max="1" width="17" customWidth="1"/>
    <col min="2" max="2" width="49.5546875" customWidth="1"/>
    <col min="14" max="14" width="12" style="42" customWidth="1"/>
    <col min="15" max="15" width="12.5546875" style="42" customWidth="1"/>
    <col min="16" max="17" width="13.33203125" style="42" customWidth="1"/>
    <col min="27" max="27" width="16.109375" customWidth="1"/>
    <col min="28" max="28" width="14.44140625" customWidth="1"/>
    <col min="34" max="34" width="14.44140625" customWidth="1"/>
    <col min="35" max="35" width="26.6640625" customWidth="1"/>
  </cols>
  <sheetData>
    <row r="1" spans="1:35" s="26" customFormat="1" ht="91.5" customHeight="1" x14ac:dyDescent="0.25">
      <c r="A1" s="1" t="s">
        <v>44</v>
      </c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8" t="s">
        <v>11</v>
      </c>
      <c r="N1" s="9" t="s">
        <v>12</v>
      </c>
      <c r="O1" s="9" t="s">
        <v>13</v>
      </c>
      <c r="P1" s="10" t="s">
        <v>14</v>
      </c>
      <c r="Q1" s="11" t="s">
        <v>15</v>
      </c>
      <c r="R1" s="12" t="s">
        <v>16</v>
      </c>
      <c r="S1" s="13" t="s">
        <v>17</v>
      </c>
      <c r="T1" s="14" t="s">
        <v>16</v>
      </c>
      <c r="U1" s="15" t="s">
        <v>18</v>
      </c>
      <c r="V1" s="16" t="s">
        <v>16</v>
      </c>
      <c r="W1" s="17" t="s">
        <v>19</v>
      </c>
      <c r="X1" s="17" t="s">
        <v>16</v>
      </c>
      <c r="Y1" s="18" t="s">
        <v>20</v>
      </c>
      <c r="Z1" s="1" t="s">
        <v>21</v>
      </c>
      <c r="AA1" s="43" t="s">
        <v>22</v>
      </c>
      <c r="AB1" s="19" t="s">
        <v>23</v>
      </c>
      <c r="AC1" s="20" t="s">
        <v>24</v>
      </c>
      <c r="AD1" s="21" t="s">
        <v>25</v>
      </c>
      <c r="AE1" s="22" t="s">
        <v>26</v>
      </c>
      <c r="AF1" s="23" t="s">
        <v>27</v>
      </c>
      <c r="AG1" s="23" t="s">
        <v>28</v>
      </c>
      <c r="AH1" s="24" t="s">
        <v>29</v>
      </c>
      <c r="AI1" s="25" t="s">
        <v>30</v>
      </c>
    </row>
    <row r="2" spans="1:35" s="41" customFormat="1" x14ac:dyDescent="0.3">
      <c r="A2" s="46" t="s">
        <v>33</v>
      </c>
      <c r="B2" s="27" t="s">
        <v>34</v>
      </c>
      <c r="C2" s="27" t="s">
        <v>35</v>
      </c>
      <c r="D2" s="27" t="s">
        <v>31</v>
      </c>
      <c r="E2" s="27" t="s">
        <v>66</v>
      </c>
      <c r="F2" s="28">
        <v>3000</v>
      </c>
      <c r="G2" s="28">
        <v>3545</v>
      </c>
      <c r="H2" s="27">
        <v>3550</v>
      </c>
      <c r="I2" s="28"/>
      <c r="J2" s="28">
        <v>103</v>
      </c>
      <c r="K2" s="28">
        <v>0.28000000000000003</v>
      </c>
      <c r="L2" s="29">
        <f>+J2/G2</f>
        <v>2.9055007052186176E-2</v>
      </c>
      <c r="M2" s="30">
        <v>0.94</v>
      </c>
      <c r="N2" s="31">
        <v>46255</v>
      </c>
      <c r="O2" s="31">
        <v>46258</v>
      </c>
      <c r="P2" s="31">
        <v>46272</v>
      </c>
      <c r="Q2" s="32">
        <v>46268</v>
      </c>
      <c r="R2" s="33">
        <f>IF(Q2="","",NETWORKDAYS(N2,Q2))</f>
        <v>10</v>
      </c>
      <c r="S2" s="34">
        <v>46273</v>
      </c>
      <c r="T2" s="35">
        <f>IF(S2="","",NETWORKDAYS(Q2,S2))</f>
        <v>4</v>
      </c>
      <c r="U2" s="36">
        <v>46279</v>
      </c>
      <c r="V2" s="37">
        <f>IF(U2="","",NETWORKDAYS(S2,U2))</f>
        <v>5</v>
      </c>
      <c r="W2" s="38"/>
      <c r="X2" s="39" t="str">
        <f t="shared" ref="X2:X44" si="0">IF(W2="","",NETWORKDAYS(U2,W2))</f>
        <v/>
      </c>
      <c r="Y2" s="39" t="str">
        <f>IF(W2="","",NETWORKDAYS(N2,W2))</f>
        <v/>
      </c>
      <c r="Z2" s="28" t="str">
        <f t="shared" ref="Z2:Z44" si="1">IF(Y2="","",IF(Y2&lt;=20,"EFICIENTE","NO EFICIENTE"))</f>
        <v/>
      </c>
      <c r="AA2" s="27" t="s">
        <v>71</v>
      </c>
      <c r="AB2" s="27" t="s">
        <v>37</v>
      </c>
      <c r="AC2" s="27">
        <v>53.28</v>
      </c>
      <c r="AD2" s="27">
        <v>6</v>
      </c>
      <c r="AE2" s="27">
        <v>11</v>
      </c>
      <c r="AF2" s="27">
        <f t="shared" ref="AF2:AF49" si="2">ROUNDUP((F2*1/(AC2*AD2*M2*AE2)),0)</f>
        <v>1</v>
      </c>
      <c r="AG2" s="27">
        <f>12/11</f>
        <v>1.0909090909090908</v>
      </c>
      <c r="AH2" s="40">
        <f>WORKDAY.INTL(P2,AF2,1,0)</f>
        <v>46273</v>
      </c>
      <c r="AI2" s="27"/>
    </row>
    <row r="3" spans="1:35" s="41" customFormat="1" x14ac:dyDescent="0.3">
      <c r="A3" s="46" t="s">
        <v>38</v>
      </c>
      <c r="B3" s="27" t="s">
        <v>39</v>
      </c>
      <c r="C3" s="27" t="s">
        <v>40</v>
      </c>
      <c r="D3" s="27" t="s">
        <v>41</v>
      </c>
      <c r="E3" s="27" t="s">
        <v>42</v>
      </c>
      <c r="F3" s="28">
        <f>2500+4000</f>
        <v>6500</v>
      </c>
      <c r="G3" s="28">
        <v>7872</v>
      </c>
      <c r="H3" s="27"/>
      <c r="I3" s="28"/>
      <c r="J3" s="28">
        <v>282</v>
      </c>
      <c r="K3" s="28">
        <v>890</v>
      </c>
      <c r="L3" s="29">
        <f t="shared" ref="L3:L49" si="3">+J3/G3</f>
        <v>3.5823170731707314E-2</v>
      </c>
      <c r="M3" s="30">
        <v>0.56999999999999995</v>
      </c>
      <c r="N3" s="31">
        <v>46254</v>
      </c>
      <c r="O3" s="31">
        <v>46255</v>
      </c>
      <c r="P3" s="31">
        <v>46269</v>
      </c>
      <c r="Q3" s="32">
        <v>46266</v>
      </c>
      <c r="R3" s="33">
        <f>IF(Q3="","",NETWORKDAYS(N3,Q3))</f>
        <v>9</v>
      </c>
      <c r="S3" s="34">
        <v>46280</v>
      </c>
      <c r="T3" s="35">
        <f>IF(S3="","",NETWORKDAYS(Q3,S3))</f>
        <v>11</v>
      </c>
      <c r="U3" s="36">
        <v>46282</v>
      </c>
      <c r="V3" s="37">
        <f>IF(U3="","",NETWORKDAYS(S3,U3))</f>
        <v>3</v>
      </c>
      <c r="W3" s="38"/>
      <c r="X3" s="39" t="str">
        <f t="shared" si="0"/>
        <v/>
      </c>
      <c r="Y3" s="39" t="str">
        <f>IF(W3="","",NETWORKDAYS(N3,W3))</f>
        <v/>
      </c>
      <c r="Z3" s="28" t="str">
        <f t="shared" si="1"/>
        <v/>
      </c>
      <c r="AA3" s="27" t="s">
        <v>71</v>
      </c>
      <c r="AB3" s="27" t="s">
        <v>43</v>
      </c>
      <c r="AC3" s="27">
        <v>34.200000000000003</v>
      </c>
      <c r="AD3" s="27">
        <v>4</v>
      </c>
      <c r="AE3" s="27">
        <v>10</v>
      </c>
      <c r="AF3" s="27">
        <f t="shared" si="2"/>
        <v>9</v>
      </c>
      <c r="AG3" s="27"/>
      <c r="AH3" s="40">
        <f>WORKDAY.INTL(P3,AF3,1,0)</f>
        <v>46282</v>
      </c>
      <c r="AI3" s="27" t="s">
        <v>225</v>
      </c>
    </row>
    <row r="4" spans="1:35" s="41" customFormat="1" x14ac:dyDescent="0.3">
      <c r="A4" s="46" t="s">
        <v>45</v>
      </c>
      <c r="B4" s="27" t="s">
        <v>46</v>
      </c>
      <c r="C4" s="27" t="s">
        <v>47</v>
      </c>
      <c r="D4" s="27" t="s">
        <v>31</v>
      </c>
      <c r="E4" s="27" t="s">
        <v>32</v>
      </c>
      <c r="F4" s="28">
        <v>5000</v>
      </c>
      <c r="G4" s="28">
        <v>5658</v>
      </c>
      <c r="H4" s="27">
        <v>5050</v>
      </c>
      <c r="I4" s="28"/>
      <c r="J4" s="28">
        <v>710</v>
      </c>
      <c r="K4" s="28">
        <v>4.4800000000000004</v>
      </c>
      <c r="L4" s="29">
        <f t="shared" si="3"/>
        <v>0.12548603746907033</v>
      </c>
      <c r="M4" s="30">
        <v>0.66</v>
      </c>
      <c r="N4" s="31">
        <v>46255</v>
      </c>
      <c r="O4" s="31">
        <v>46255</v>
      </c>
      <c r="P4" s="31">
        <v>46272</v>
      </c>
      <c r="Q4" s="32">
        <v>46267</v>
      </c>
      <c r="R4" s="33">
        <f t="shared" ref="R4:R49" si="4">IF(Q4="","",NETWORKDAYS(N4,Q4))</f>
        <v>9</v>
      </c>
      <c r="S4" s="34">
        <v>46279</v>
      </c>
      <c r="T4" s="35">
        <f>IF(S4="","",NETWORKDAYS(Q4,S4))</f>
        <v>9</v>
      </c>
      <c r="U4" s="36">
        <v>46280</v>
      </c>
      <c r="V4" s="37">
        <f>IF(U4="","",NETWORKDAYS(S4,U4))</f>
        <v>2</v>
      </c>
      <c r="W4" s="38">
        <v>46281</v>
      </c>
      <c r="X4" s="39">
        <f t="shared" si="0"/>
        <v>2</v>
      </c>
      <c r="Y4" s="39">
        <f>IF(W4="","",NETWORKDAYS(N4,W4))</f>
        <v>19</v>
      </c>
      <c r="Z4" s="28" t="str">
        <f t="shared" si="1"/>
        <v>EFICIENTE</v>
      </c>
      <c r="AA4" s="27" t="s">
        <v>71</v>
      </c>
      <c r="AB4" s="27" t="s">
        <v>48</v>
      </c>
      <c r="AC4" s="27">
        <v>28.56</v>
      </c>
      <c r="AD4" s="27">
        <v>4</v>
      </c>
      <c r="AE4" s="27">
        <v>10</v>
      </c>
      <c r="AF4" s="27">
        <f t="shared" si="2"/>
        <v>7</v>
      </c>
      <c r="AG4" s="27">
        <f>68/10</f>
        <v>6.8</v>
      </c>
      <c r="AH4" s="40">
        <f>WORKDAY.INTL(P4,AF4,1,0)</f>
        <v>46281</v>
      </c>
      <c r="AI4" s="27"/>
    </row>
    <row r="5" spans="1:35" s="41" customFormat="1" x14ac:dyDescent="0.3">
      <c r="A5" s="46" t="s">
        <v>49</v>
      </c>
      <c r="B5" s="27" t="s">
        <v>50</v>
      </c>
      <c r="C5" s="27" t="s">
        <v>51</v>
      </c>
      <c r="D5" s="27" t="s">
        <v>31</v>
      </c>
      <c r="E5" s="27" t="s">
        <v>52</v>
      </c>
      <c r="F5" s="28">
        <v>18000</v>
      </c>
      <c r="G5" s="28">
        <v>19574</v>
      </c>
      <c r="H5" s="27"/>
      <c r="I5" s="28"/>
      <c r="J5" s="28">
        <v>230</v>
      </c>
      <c r="K5" s="28">
        <v>1.3</v>
      </c>
      <c r="L5" s="29">
        <f t="shared" si="3"/>
        <v>1.1750280984980075E-2</v>
      </c>
      <c r="M5" s="30">
        <v>0.65</v>
      </c>
      <c r="N5" s="31">
        <v>46252</v>
      </c>
      <c r="O5" s="31">
        <v>46252</v>
      </c>
      <c r="P5" s="31">
        <v>46269</v>
      </c>
      <c r="Q5" s="32">
        <v>46267</v>
      </c>
      <c r="R5" s="33">
        <f t="shared" si="4"/>
        <v>12</v>
      </c>
      <c r="S5" s="34">
        <v>46280</v>
      </c>
      <c r="T5" s="35">
        <f t="shared" ref="T5:T49" si="5">IF(S5="","",NETWORKDAYS(Q5,S5))</f>
        <v>10</v>
      </c>
      <c r="U5" s="36">
        <v>46282</v>
      </c>
      <c r="V5" s="37">
        <f t="shared" ref="V5:V49" si="6">IF(U5="","",NETWORKDAYS(S5,U5))</f>
        <v>3</v>
      </c>
      <c r="W5" s="38"/>
      <c r="X5" s="39" t="str">
        <f t="shared" si="0"/>
        <v/>
      </c>
      <c r="Y5" s="39" t="str">
        <f t="shared" ref="Y5:Y49" si="7">IF(W5="","",NETWORKDAYS(N5,W5))</f>
        <v/>
      </c>
      <c r="Z5" s="28" t="str">
        <f t="shared" si="1"/>
        <v/>
      </c>
      <c r="AA5" s="27" t="s">
        <v>71</v>
      </c>
      <c r="AB5" s="27" t="s">
        <v>53</v>
      </c>
      <c r="AC5" s="27">
        <v>48.24</v>
      </c>
      <c r="AD5" s="27">
        <v>6</v>
      </c>
      <c r="AE5" s="27">
        <v>10</v>
      </c>
      <c r="AF5" s="27">
        <f t="shared" si="2"/>
        <v>10</v>
      </c>
      <c r="AG5" s="27">
        <f>84/10</f>
        <v>8.4</v>
      </c>
      <c r="AH5" s="40">
        <f t="shared" ref="AH5:AH49" si="8">WORKDAY.INTL(P5,AF5,1,0)</f>
        <v>46283</v>
      </c>
      <c r="AI5" s="27"/>
    </row>
    <row r="6" spans="1:35" s="41" customFormat="1" x14ac:dyDescent="0.3">
      <c r="A6" s="46" t="s">
        <v>54</v>
      </c>
      <c r="B6" s="27" t="s">
        <v>55</v>
      </c>
      <c r="C6" s="27" t="s">
        <v>56</v>
      </c>
      <c r="D6" s="27" t="s">
        <v>31</v>
      </c>
      <c r="E6" s="27" t="s">
        <v>42</v>
      </c>
      <c r="F6" s="28">
        <v>3000</v>
      </c>
      <c r="G6" s="28">
        <v>2265</v>
      </c>
      <c r="H6" s="27">
        <v>2500</v>
      </c>
      <c r="I6" s="28"/>
      <c r="J6" s="28">
        <v>215</v>
      </c>
      <c r="K6" s="28">
        <v>7.48</v>
      </c>
      <c r="L6" s="29">
        <f t="shared" si="3"/>
        <v>9.4922737306843266E-2</v>
      </c>
      <c r="M6" s="30">
        <v>0.61</v>
      </c>
      <c r="N6" s="31">
        <v>46252</v>
      </c>
      <c r="O6" s="31">
        <v>46262</v>
      </c>
      <c r="P6" s="31">
        <v>46272</v>
      </c>
      <c r="Q6" s="32">
        <v>46266</v>
      </c>
      <c r="R6" s="33">
        <f t="shared" si="4"/>
        <v>11</v>
      </c>
      <c r="S6" s="34">
        <v>46276</v>
      </c>
      <c r="T6" s="35">
        <f t="shared" si="5"/>
        <v>9</v>
      </c>
      <c r="U6" s="36">
        <v>46279</v>
      </c>
      <c r="V6" s="37">
        <f t="shared" si="6"/>
        <v>2</v>
      </c>
      <c r="W6" s="38">
        <v>46281</v>
      </c>
      <c r="X6" s="39">
        <f t="shared" si="0"/>
        <v>3</v>
      </c>
      <c r="Y6" s="39">
        <f t="shared" si="7"/>
        <v>22</v>
      </c>
      <c r="Z6" s="28" t="str">
        <f t="shared" si="1"/>
        <v>NO EFICIENTE</v>
      </c>
      <c r="AA6" s="27" t="s">
        <v>71</v>
      </c>
      <c r="AB6" s="27" t="s">
        <v>53</v>
      </c>
      <c r="AC6" s="27">
        <v>30.36</v>
      </c>
      <c r="AD6" s="27">
        <v>4</v>
      </c>
      <c r="AE6" s="27">
        <v>10</v>
      </c>
      <c r="AF6" s="27">
        <f t="shared" si="2"/>
        <v>5</v>
      </c>
      <c r="AG6" s="27">
        <f>34/10</f>
        <v>3.4</v>
      </c>
      <c r="AH6" s="40">
        <f t="shared" si="8"/>
        <v>46279</v>
      </c>
      <c r="AI6" s="27"/>
    </row>
    <row r="7" spans="1:35" x14ac:dyDescent="0.3">
      <c r="A7" s="46" t="s">
        <v>57</v>
      </c>
      <c r="B7" s="44" t="s">
        <v>58</v>
      </c>
      <c r="C7" s="44" t="s">
        <v>64</v>
      </c>
      <c r="D7" s="44" t="s">
        <v>59</v>
      </c>
      <c r="E7" s="44" t="s">
        <v>42</v>
      </c>
      <c r="F7" s="47">
        <v>6000</v>
      </c>
      <c r="G7" s="45"/>
      <c r="H7" s="45"/>
      <c r="I7" s="45"/>
      <c r="J7" s="45"/>
      <c r="K7" s="45"/>
      <c r="L7" s="29" t="e">
        <f t="shared" si="3"/>
        <v>#DIV/0!</v>
      </c>
      <c r="M7" s="30"/>
      <c r="N7" s="48">
        <v>46266</v>
      </c>
      <c r="O7" s="48">
        <v>46267</v>
      </c>
      <c r="P7" s="48">
        <v>46270</v>
      </c>
      <c r="Q7" s="32">
        <v>46267</v>
      </c>
      <c r="R7" s="33">
        <f t="shared" si="4"/>
        <v>2</v>
      </c>
      <c r="S7" s="34"/>
      <c r="T7" s="35" t="str">
        <f t="shared" si="5"/>
        <v/>
      </c>
      <c r="U7" s="36"/>
      <c r="V7" s="37" t="str">
        <f t="shared" si="6"/>
        <v/>
      </c>
      <c r="W7" s="38"/>
      <c r="X7" s="39" t="str">
        <f t="shared" si="0"/>
        <v/>
      </c>
      <c r="Y7" s="39" t="str">
        <f t="shared" si="7"/>
        <v/>
      </c>
      <c r="Z7" s="28" t="str">
        <f t="shared" si="1"/>
        <v/>
      </c>
      <c r="AA7" s="27" t="s">
        <v>36</v>
      </c>
      <c r="AB7" s="44" t="s">
        <v>60</v>
      </c>
      <c r="AC7" s="44">
        <v>18.72</v>
      </c>
      <c r="AD7" s="44">
        <v>15</v>
      </c>
      <c r="AE7" s="45"/>
      <c r="AF7" s="27" t="e">
        <f t="shared" si="2"/>
        <v>#DIV/0!</v>
      </c>
      <c r="AG7" s="45"/>
      <c r="AH7" s="40" t="e">
        <f t="shared" si="8"/>
        <v>#DIV/0!</v>
      </c>
      <c r="AI7" s="45"/>
    </row>
    <row r="8" spans="1:35" x14ac:dyDescent="0.3">
      <c r="A8" s="49" t="s">
        <v>61</v>
      </c>
      <c r="B8" s="44" t="s">
        <v>62</v>
      </c>
      <c r="C8" s="44" t="s">
        <v>63</v>
      </c>
      <c r="D8" s="44" t="s">
        <v>65</v>
      </c>
      <c r="E8" s="44" t="s">
        <v>66</v>
      </c>
      <c r="F8" s="47">
        <v>1380</v>
      </c>
      <c r="G8" s="45">
        <v>1734</v>
      </c>
      <c r="H8" s="45"/>
      <c r="I8" s="45"/>
      <c r="J8" s="45">
        <v>16</v>
      </c>
      <c r="K8" s="45">
        <v>1.33</v>
      </c>
      <c r="L8" s="29">
        <f t="shared" si="3"/>
        <v>9.22722029988466E-3</v>
      </c>
      <c r="M8" s="30">
        <v>0.5</v>
      </c>
      <c r="N8" s="48">
        <v>46252</v>
      </c>
      <c r="O8" s="48">
        <v>46255</v>
      </c>
      <c r="P8" s="48">
        <v>46273</v>
      </c>
      <c r="Q8" s="32">
        <v>46274</v>
      </c>
      <c r="R8" s="33">
        <f t="shared" si="4"/>
        <v>17</v>
      </c>
      <c r="S8" s="34">
        <v>46287</v>
      </c>
      <c r="T8" s="35">
        <f t="shared" si="5"/>
        <v>10</v>
      </c>
      <c r="U8" s="36">
        <v>46288</v>
      </c>
      <c r="V8" s="37">
        <f t="shared" si="6"/>
        <v>2</v>
      </c>
      <c r="W8" s="38">
        <v>46296</v>
      </c>
      <c r="X8" s="39">
        <f t="shared" si="0"/>
        <v>7</v>
      </c>
      <c r="Y8" s="39">
        <f t="shared" si="7"/>
        <v>33</v>
      </c>
      <c r="Z8" s="28" t="str">
        <f t="shared" si="1"/>
        <v>NO EFICIENTE</v>
      </c>
      <c r="AA8" s="27" t="s">
        <v>71</v>
      </c>
      <c r="AB8" s="45" t="s">
        <v>67</v>
      </c>
      <c r="AC8" s="45">
        <v>20.28</v>
      </c>
      <c r="AD8" s="45">
        <v>2</v>
      </c>
      <c r="AE8" s="45">
        <v>11</v>
      </c>
      <c r="AF8" s="27">
        <f t="shared" si="2"/>
        <v>7</v>
      </c>
      <c r="AG8" s="45"/>
      <c r="AH8" s="40">
        <f t="shared" si="8"/>
        <v>46282</v>
      </c>
      <c r="AI8" s="45" t="s">
        <v>218</v>
      </c>
    </row>
    <row r="9" spans="1:35" x14ac:dyDescent="0.3">
      <c r="A9" s="49" t="s">
        <v>72</v>
      </c>
      <c r="B9" s="45" t="s">
        <v>73</v>
      </c>
      <c r="C9" s="45" t="s">
        <v>74</v>
      </c>
      <c r="D9" s="45" t="s">
        <v>31</v>
      </c>
      <c r="E9" s="45" t="s">
        <v>42</v>
      </c>
      <c r="F9" s="50">
        <v>3000</v>
      </c>
      <c r="G9" s="45">
        <v>2890</v>
      </c>
      <c r="H9" s="45">
        <v>2443</v>
      </c>
      <c r="I9" s="45"/>
      <c r="J9" s="45">
        <v>187</v>
      </c>
      <c r="K9" s="45">
        <v>4.53</v>
      </c>
      <c r="L9" s="29">
        <f t="shared" si="3"/>
        <v>6.4705882352941183E-2</v>
      </c>
      <c r="M9" s="30">
        <v>0.73</v>
      </c>
      <c r="N9" s="48">
        <v>46252</v>
      </c>
      <c r="O9" s="48">
        <v>46255</v>
      </c>
      <c r="P9" s="48">
        <v>46275</v>
      </c>
      <c r="Q9" s="32">
        <v>46269</v>
      </c>
      <c r="R9" s="33">
        <f t="shared" si="4"/>
        <v>14</v>
      </c>
      <c r="S9" s="34">
        <v>46286</v>
      </c>
      <c r="T9" s="35">
        <f t="shared" si="5"/>
        <v>12</v>
      </c>
      <c r="U9" s="36">
        <v>46290</v>
      </c>
      <c r="V9" s="37">
        <f t="shared" si="6"/>
        <v>5</v>
      </c>
      <c r="W9" s="38">
        <v>46294</v>
      </c>
      <c r="X9" s="39">
        <f t="shared" si="0"/>
        <v>3</v>
      </c>
      <c r="Y9" s="39">
        <f t="shared" si="7"/>
        <v>31</v>
      </c>
      <c r="Z9" s="28" t="str">
        <f t="shared" si="1"/>
        <v>NO EFICIENTE</v>
      </c>
      <c r="AA9" s="27" t="s">
        <v>71</v>
      </c>
      <c r="AB9" s="45" t="s">
        <v>99</v>
      </c>
      <c r="AC9" s="45">
        <v>21.36</v>
      </c>
      <c r="AD9" s="45">
        <v>2</v>
      </c>
      <c r="AE9" s="45">
        <v>10</v>
      </c>
      <c r="AF9" s="27">
        <f t="shared" si="2"/>
        <v>10</v>
      </c>
      <c r="AG9" s="45">
        <f>75/10</f>
        <v>7.5</v>
      </c>
      <c r="AH9" s="40">
        <f t="shared" si="8"/>
        <v>46289</v>
      </c>
      <c r="AI9" s="45" t="s">
        <v>122</v>
      </c>
    </row>
    <row r="10" spans="1:35" x14ac:dyDescent="0.3">
      <c r="A10" s="49" t="s">
        <v>76</v>
      </c>
      <c r="B10" s="45" t="s">
        <v>77</v>
      </c>
      <c r="C10" s="45" t="s">
        <v>78</v>
      </c>
      <c r="D10" s="45" t="s">
        <v>31</v>
      </c>
      <c r="E10" s="45" t="s">
        <v>79</v>
      </c>
      <c r="F10" s="45">
        <v>2000</v>
      </c>
      <c r="G10" s="45">
        <v>1918</v>
      </c>
      <c r="H10" s="45">
        <v>1940</v>
      </c>
      <c r="I10" s="45"/>
      <c r="J10" s="45">
        <v>77</v>
      </c>
      <c r="K10" s="45">
        <v>3.52</v>
      </c>
      <c r="L10" s="29">
        <f t="shared" si="3"/>
        <v>4.0145985401459854E-2</v>
      </c>
      <c r="M10" s="30">
        <v>0.49</v>
      </c>
      <c r="N10" s="48">
        <v>46252</v>
      </c>
      <c r="O10" s="48">
        <v>46262</v>
      </c>
      <c r="P10" s="48">
        <v>46276</v>
      </c>
      <c r="Q10" s="32">
        <v>46275</v>
      </c>
      <c r="R10" s="33">
        <f t="shared" si="4"/>
        <v>18</v>
      </c>
      <c r="S10" s="34">
        <v>46279</v>
      </c>
      <c r="T10" s="35">
        <f t="shared" si="5"/>
        <v>3</v>
      </c>
      <c r="U10" s="36">
        <v>46280</v>
      </c>
      <c r="V10" s="37">
        <f t="shared" si="6"/>
        <v>2</v>
      </c>
      <c r="W10" s="38"/>
      <c r="X10" s="39" t="str">
        <f t="shared" si="0"/>
        <v/>
      </c>
      <c r="Y10" s="39" t="str">
        <f t="shared" si="7"/>
        <v/>
      </c>
      <c r="Z10" s="28" t="str">
        <f t="shared" si="1"/>
        <v/>
      </c>
      <c r="AA10" s="27" t="s">
        <v>71</v>
      </c>
      <c r="AB10" s="45" t="s">
        <v>80</v>
      </c>
      <c r="AC10" s="45">
        <v>38.159999999999997</v>
      </c>
      <c r="AD10" s="45">
        <v>4</v>
      </c>
      <c r="AE10" s="45">
        <v>24</v>
      </c>
      <c r="AF10" s="27">
        <f t="shared" si="2"/>
        <v>2</v>
      </c>
      <c r="AG10" s="45">
        <f>25/24</f>
        <v>1.0416666666666667</v>
      </c>
      <c r="AH10" s="40">
        <f t="shared" si="8"/>
        <v>46280</v>
      </c>
      <c r="AI10" s="45"/>
    </row>
    <row r="11" spans="1:35" x14ac:dyDescent="0.3">
      <c r="A11" s="45" t="s">
        <v>81</v>
      </c>
      <c r="B11" s="45" t="s">
        <v>82</v>
      </c>
      <c r="C11" s="45" t="s">
        <v>83</v>
      </c>
      <c r="D11" s="45" t="s">
        <v>84</v>
      </c>
      <c r="E11" s="45" t="s">
        <v>42</v>
      </c>
      <c r="F11" s="45">
        <v>3000</v>
      </c>
      <c r="G11" s="45">
        <v>1876</v>
      </c>
      <c r="H11" s="45"/>
      <c r="I11" s="45"/>
      <c r="J11" s="45"/>
      <c r="K11" s="45"/>
      <c r="L11" s="29">
        <f t="shared" si="3"/>
        <v>0</v>
      </c>
      <c r="M11" s="30">
        <v>0.7</v>
      </c>
      <c r="N11" s="48">
        <v>46273</v>
      </c>
      <c r="O11" s="48">
        <v>46274</v>
      </c>
      <c r="P11" s="48">
        <v>46286</v>
      </c>
      <c r="Q11" s="32">
        <v>46276</v>
      </c>
      <c r="R11" s="33">
        <f t="shared" si="4"/>
        <v>4</v>
      </c>
      <c r="S11" s="34">
        <v>46288</v>
      </c>
      <c r="T11" s="35">
        <f t="shared" si="5"/>
        <v>9</v>
      </c>
      <c r="U11" s="36">
        <v>46293</v>
      </c>
      <c r="V11" s="37">
        <f t="shared" si="6"/>
        <v>4</v>
      </c>
      <c r="W11" s="38"/>
      <c r="X11" s="39" t="str">
        <f t="shared" si="0"/>
        <v/>
      </c>
      <c r="Y11" s="39" t="str">
        <f t="shared" si="7"/>
        <v/>
      </c>
      <c r="Z11" s="28" t="str">
        <f t="shared" si="1"/>
        <v/>
      </c>
      <c r="AA11" s="27" t="s">
        <v>71</v>
      </c>
      <c r="AB11" s="45" t="s">
        <v>85</v>
      </c>
      <c r="AC11" s="45">
        <v>40.200000000000003</v>
      </c>
      <c r="AD11" s="45">
        <v>4</v>
      </c>
      <c r="AE11" s="45">
        <v>10</v>
      </c>
      <c r="AF11" s="27">
        <f t="shared" si="2"/>
        <v>3</v>
      </c>
      <c r="AG11" s="45"/>
      <c r="AH11" s="40">
        <f t="shared" si="8"/>
        <v>46289</v>
      </c>
      <c r="AI11" s="45"/>
    </row>
    <row r="12" spans="1:35" x14ac:dyDescent="0.3">
      <c r="A12" s="49" t="s">
        <v>86</v>
      </c>
      <c r="B12" s="45" t="s">
        <v>87</v>
      </c>
      <c r="C12" s="45" t="s">
        <v>88</v>
      </c>
      <c r="D12" s="45" t="s">
        <v>65</v>
      </c>
      <c r="E12" s="45" t="s">
        <v>89</v>
      </c>
      <c r="F12" s="45">
        <v>1840</v>
      </c>
      <c r="G12" s="45">
        <v>2536</v>
      </c>
      <c r="H12" s="45">
        <v>2387</v>
      </c>
      <c r="I12" s="45"/>
      <c r="J12" s="45">
        <v>78</v>
      </c>
      <c r="K12" s="45">
        <v>0.91</v>
      </c>
      <c r="L12" s="29">
        <f t="shared" si="3"/>
        <v>3.0757097791798107E-2</v>
      </c>
      <c r="M12" s="30">
        <v>0.65</v>
      </c>
      <c r="N12" s="48">
        <v>46273</v>
      </c>
      <c r="O12" s="48">
        <v>46274</v>
      </c>
      <c r="P12" s="48">
        <v>46281</v>
      </c>
      <c r="Q12" s="32">
        <v>46276</v>
      </c>
      <c r="R12" s="33">
        <f t="shared" si="4"/>
        <v>4</v>
      </c>
      <c r="S12" s="34">
        <v>46287</v>
      </c>
      <c r="T12" s="35">
        <f t="shared" si="5"/>
        <v>8</v>
      </c>
      <c r="U12" s="36">
        <v>46288</v>
      </c>
      <c r="V12" s="37">
        <f t="shared" si="6"/>
        <v>2</v>
      </c>
      <c r="W12" s="38">
        <v>46289</v>
      </c>
      <c r="X12" s="39">
        <f t="shared" si="0"/>
        <v>2</v>
      </c>
      <c r="Y12" s="39">
        <f t="shared" si="7"/>
        <v>13</v>
      </c>
      <c r="Z12" s="28" t="str">
        <f t="shared" si="1"/>
        <v>EFICIENTE</v>
      </c>
      <c r="AA12" s="27" t="s">
        <v>71</v>
      </c>
      <c r="AB12" s="45" t="s">
        <v>90</v>
      </c>
      <c r="AC12" s="45">
        <v>18.96</v>
      </c>
      <c r="AD12" s="45">
        <v>4</v>
      </c>
      <c r="AE12" s="45">
        <v>10</v>
      </c>
      <c r="AF12" s="27">
        <f>ROUNDUP((F12*1/(AC12*AD12*M12*AE12)),0)</f>
        <v>4</v>
      </c>
      <c r="AG12" s="45">
        <f>44/10</f>
        <v>4.4000000000000004</v>
      </c>
      <c r="AH12" s="40">
        <f t="shared" si="8"/>
        <v>46287</v>
      </c>
      <c r="AI12" s="45"/>
    </row>
    <row r="13" spans="1:35" x14ac:dyDescent="0.3">
      <c r="A13" s="49" t="s">
        <v>91</v>
      </c>
      <c r="B13" s="45" t="s">
        <v>92</v>
      </c>
      <c r="C13" s="45" t="s">
        <v>93</v>
      </c>
      <c r="D13" s="45" t="s">
        <v>31</v>
      </c>
      <c r="E13" s="45" t="s">
        <v>52</v>
      </c>
      <c r="F13" s="45">
        <v>6000</v>
      </c>
      <c r="G13" s="45">
        <v>5633</v>
      </c>
      <c r="H13" s="45">
        <v>4180</v>
      </c>
      <c r="I13" s="45"/>
      <c r="J13" s="45">
        <v>214</v>
      </c>
      <c r="K13" s="45">
        <v>2.93</v>
      </c>
      <c r="L13" s="29">
        <f t="shared" si="3"/>
        <v>3.7990413633942836E-2</v>
      </c>
      <c r="M13" s="30">
        <v>0.79</v>
      </c>
      <c r="N13" s="48">
        <v>46252</v>
      </c>
      <c r="O13" s="48">
        <v>46255</v>
      </c>
      <c r="P13" s="48">
        <v>46282</v>
      </c>
      <c r="Q13" s="32">
        <v>46280</v>
      </c>
      <c r="R13" s="33">
        <f t="shared" si="4"/>
        <v>21</v>
      </c>
      <c r="S13" s="34">
        <v>46286</v>
      </c>
      <c r="T13" s="35">
        <f t="shared" si="5"/>
        <v>5</v>
      </c>
      <c r="U13" s="36">
        <v>46287</v>
      </c>
      <c r="V13" s="37">
        <f t="shared" si="6"/>
        <v>2</v>
      </c>
      <c r="W13" s="38">
        <v>46296</v>
      </c>
      <c r="X13" s="39">
        <f t="shared" si="0"/>
        <v>8</v>
      </c>
      <c r="Y13" s="39">
        <f t="shared" si="7"/>
        <v>33</v>
      </c>
      <c r="Z13" s="28" t="str">
        <f t="shared" si="1"/>
        <v>NO EFICIENTE</v>
      </c>
      <c r="AA13" s="27" t="s">
        <v>36</v>
      </c>
      <c r="AB13" s="45" t="s">
        <v>94</v>
      </c>
      <c r="AC13" s="45">
        <v>85.2</v>
      </c>
      <c r="AD13" s="45">
        <v>6</v>
      </c>
      <c r="AE13" s="45">
        <v>10</v>
      </c>
      <c r="AF13" s="27">
        <f t="shared" ref="AF13:AF27" si="9">ROUNDUP((F13*1/(AC13*AD13*M13*AE13)),0)</f>
        <v>2</v>
      </c>
      <c r="AG13" s="45">
        <f>15/10</f>
        <v>1.5</v>
      </c>
      <c r="AH13" s="40">
        <f>WORKDAY.INTL(P13,AF13,1,0)</f>
        <v>46286</v>
      </c>
      <c r="AI13" s="45" t="s">
        <v>200</v>
      </c>
    </row>
    <row r="14" spans="1:35" x14ac:dyDescent="0.3">
      <c r="A14" s="45" t="s">
        <v>100</v>
      </c>
      <c r="B14" s="45" t="s">
        <v>101</v>
      </c>
      <c r="C14" s="45" t="s">
        <v>102</v>
      </c>
      <c r="D14" s="45" t="s">
        <v>104</v>
      </c>
      <c r="E14" s="45" t="s">
        <v>42</v>
      </c>
      <c r="F14" s="45">
        <v>10000</v>
      </c>
      <c r="G14" s="45">
        <v>12912</v>
      </c>
      <c r="H14" s="45"/>
      <c r="I14" s="45"/>
      <c r="J14" s="45">
        <v>1084</v>
      </c>
      <c r="K14" s="45">
        <v>5.32</v>
      </c>
      <c r="L14" s="29">
        <f t="shared" si="3"/>
        <v>8.395291201982652E-2</v>
      </c>
      <c r="M14" s="30">
        <v>0.72</v>
      </c>
      <c r="N14" s="48">
        <v>46246</v>
      </c>
      <c r="O14" s="48">
        <v>46246</v>
      </c>
      <c r="P14" s="48">
        <v>46266</v>
      </c>
      <c r="Q14" s="32">
        <v>46260</v>
      </c>
      <c r="R14" s="33">
        <f t="shared" si="4"/>
        <v>11</v>
      </c>
      <c r="S14" s="34"/>
      <c r="T14" s="35" t="str">
        <f t="shared" si="5"/>
        <v/>
      </c>
      <c r="U14" s="36"/>
      <c r="V14" s="37" t="str">
        <f t="shared" si="6"/>
        <v/>
      </c>
      <c r="W14" s="38"/>
      <c r="X14" s="39" t="str">
        <f t="shared" si="0"/>
        <v/>
      </c>
      <c r="Y14" s="39" t="str">
        <f t="shared" si="7"/>
        <v/>
      </c>
      <c r="Z14" s="28" t="str">
        <f t="shared" si="1"/>
        <v/>
      </c>
      <c r="AA14" s="27" t="s">
        <v>36</v>
      </c>
      <c r="AB14" s="45" t="s">
        <v>103</v>
      </c>
      <c r="AC14" s="45">
        <v>14.04</v>
      </c>
      <c r="AD14" s="45">
        <v>6</v>
      </c>
      <c r="AE14" s="45">
        <v>10</v>
      </c>
      <c r="AF14" s="27">
        <f t="shared" si="9"/>
        <v>17</v>
      </c>
      <c r="AG14" s="45"/>
      <c r="AH14" s="40">
        <f t="shared" si="8"/>
        <v>46289</v>
      </c>
      <c r="AI14" s="45"/>
    </row>
    <row r="15" spans="1:35" x14ac:dyDescent="0.3">
      <c r="A15" s="45" t="s">
        <v>105</v>
      </c>
      <c r="B15" s="45" t="s">
        <v>106</v>
      </c>
      <c r="C15" s="45" t="s">
        <v>88</v>
      </c>
      <c r="D15" s="45" t="s">
        <v>104</v>
      </c>
      <c r="E15" s="45"/>
      <c r="F15" s="45">
        <v>5520</v>
      </c>
      <c r="G15" s="45">
        <v>5982</v>
      </c>
      <c r="H15" s="45"/>
      <c r="I15" s="45"/>
      <c r="J15" s="45"/>
      <c r="K15" s="45"/>
      <c r="L15" s="29">
        <f t="shared" si="3"/>
        <v>0</v>
      </c>
      <c r="M15" s="30">
        <v>0.6</v>
      </c>
      <c r="N15" s="48">
        <v>46273</v>
      </c>
      <c r="O15" s="48">
        <v>46274</v>
      </c>
      <c r="P15" s="48">
        <v>46294</v>
      </c>
      <c r="Q15" s="32"/>
      <c r="R15" s="33" t="str">
        <f t="shared" si="4"/>
        <v/>
      </c>
      <c r="S15" s="34"/>
      <c r="T15" s="35" t="str">
        <f t="shared" si="5"/>
        <v/>
      </c>
      <c r="U15" s="36"/>
      <c r="V15" s="37" t="str">
        <f t="shared" si="6"/>
        <v/>
      </c>
      <c r="W15" s="38"/>
      <c r="X15" s="39" t="str">
        <f t="shared" si="0"/>
        <v/>
      </c>
      <c r="Y15" s="39" t="str">
        <f t="shared" si="7"/>
        <v/>
      </c>
      <c r="Z15" s="28" t="str">
        <f t="shared" si="1"/>
        <v/>
      </c>
      <c r="AA15" s="27" t="s">
        <v>36</v>
      </c>
      <c r="AB15" s="45" t="s">
        <v>108</v>
      </c>
      <c r="AC15" s="45">
        <v>27.36</v>
      </c>
      <c r="AD15" s="45">
        <v>6</v>
      </c>
      <c r="AE15" s="45">
        <v>24</v>
      </c>
      <c r="AF15" s="27">
        <f t="shared" si="9"/>
        <v>3</v>
      </c>
      <c r="AG15" s="45"/>
      <c r="AH15" s="40">
        <f t="shared" si="8"/>
        <v>46297</v>
      </c>
      <c r="AI15" s="45"/>
    </row>
    <row r="16" spans="1:35" x14ac:dyDescent="0.3">
      <c r="A16" s="45" t="s">
        <v>109</v>
      </c>
      <c r="B16" s="45" t="s">
        <v>110</v>
      </c>
      <c r="C16" s="45" t="s">
        <v>47</v>
      </c>
      <c r="D16" s="45" t="s">
        <v>31</v>
      </c>
      <c r="E16" s="45" t="s">
        <v>66</v>
      </c>
      <c r="F16" s="45">
        <v>4000</v>
      </c>
      <c r="G16" s="45">
        <v>1159</v>
      </c>
      <c r="H16" s="45"/>
      <c r="I16" s="45"/>
      <c r="J16" s="45"/>
      <c r="K16" s="45"/>
      <c r="L16" s="29">
        <f t="shared" si="3"/>
        <v>0</v>
      </c>
      <c r="M16" s="30">
        <v>0.7</v>
      </c>
      <c r="N16" s="48">
        <v>46283</v>
      </c>
      <c r="O16" s="48">
        <v>46283</v>
      </c>
      <c r="P16" s="48">
        <v>46289</v>
      </c>
      <c r="Q16" s="32">
        <v>46288</v>
      </c>
      <c r="R16" s="33">
        <f t="shared" si="4"/>
        <v>4</v>
      </c>
      <c r="S16" s="34">
        <v>46290</v>
      </c>
      <c r="T16" s="35">
        <f t="shared" si="5"/>
        <v>3</v>
      </c>
      <c r="U16" s="36">
        <v>46295</v>
      </c>
      <c r="V16" s="37">
        <f t="shared" si="6"/>
        <v>4</v>
      </c>
      <c r="W16" s="38">
        <v>46283</v>
      </c>
      <c r="X16" s="39">
        <f t="shared" si="0"/>
        <v>-9</v>
      </c>
      <c r="Y16" s="39">
        <f t="shared" si="7"/>
        <v>1</v>
      </c>
      <c r="Z16" s="28" t="str">
        <f t="shared" si="1"/>
        <v>EFICIENTE</v>
      </c>
      <c r="AA16" s="27" t="s">
        <v>71</v>
      </c>
      <c r="AB16" s="45" t="s">
        <v>227</v>
      </c>
      <c r="AC16" s="45">
        <v>0.54</v>
      </c>
      <c r="AD16" s="45">
        <v>2</v>
      </c>
      <c r="AE16" s="45">
        <v>24</v>
      </c>
      <c r="AF16" s="27">
        <f t="shared" si="9"/>
        <v>221</v>
      </c>
      <c r="AG16" s="45"/>
      <c r="AH16" s="40">
        <f t="shared" si="8"/>
        <v>46598</v>
      </c>
      <c r="AI16" s="45"/>
    </row>
    <row r="17" spans="1:35" x14ac:dyDescent="0.3">
      <c r="A17" s="45" t="s">
        <v>111</v>
      </c>
      <c r="B17" s="45" t="s">
        <v>112</v>
      </c>
      <c r="C17" s="45" t="s">
        <v>113</v>
      </c>
      <c r="D17" s="45" t="s">
        <v>31</v>
      </c>
      <c r="E17" s="45" t="s">
        <v>42</v>
      </c>
      <c r="F17" s="45">
        <v>10000</v>
      </c>
      <c r="G17" s="45">
        <v>9115</v>
      </c>
      <c r="H17" s="45">
        <v>6860</v>
      </c>
      <c r="I17" s="45"/>
      <c r="J17" s="45"/>
      <c r="K17" s="45">
        <v>0.37</v>
      </c>
      <c r="L17" s="29">
        <f t="shared" si="3"/>
        <v>0</v>
      </c>
      <c r="M17" s="30">
        <v>0.6</v>
      </c>
      <c r="N17" s="48">
        <v>46253</v>
      </c>
      <c r="O17" s="48">
        <v>46255</v>
      </c>
      <c r="P17" s="48">
        <v>46279</v>
      </c>
      <c r="Q17" s="32">
        <v>46269</v>
      </c>
      <c r="R17" s="33">
        <f t="shared" si="4"/>
        <v>13</v>
      </c>
      <c r="S17" s="34">
        <v>46280</v>
      </c>
      <c r="T17" s="35">
        <f t="shared" si="5"/>
        <v>8</v>
      </c>
      <c r="U17" s="36">
        <v>46283</v>
      </c>
      <c r="V17" s="37">
        <f t="shared" si="6"/>
        <v>4</v>
      </c>
      <c r="W17" s="38">
        <v>46259</v>
      </c>
      <c r="X17" s="39">
        <f t="shared" si="0"/>
        <v>-19</v>
      </c>
      <c r="Y17" s="39">
        <f t="shared" si="7"/>
        <v>5</v>
      </c>
      <c r="Z17" s="28" t="str">
        <f t="shared" si="1"/>
        <v>EFICIENTE</v>
      </c>
      <c r="AA17" s="27" t="s">
        <v>71</v>
      </c>
      <c r="AB17" s="45" t="s">
        <v>114</v>
      </c>
      <c r="AC17" s="45">
        <v>71.64</v>
      </c>
      <c r="AD17" s="45">
        <v>6</v>
      </c>
      <c r="AE17" s="45">
        <v>10</v>
      </c>
      <c r="AF17" s="27">
        <f t="shared" si="9"/>
        <v>4</v>
      </c>
      <c r="AG17" s="45">
        <f>50/10</f>
        <v>5</v>
      </c>
      <c r="AH17" s="40">
        <f t="shared" si="8"/>
        <v>46283</v>
      </c>
      <c r="AI17" s="45"/>
    </row>
    <row r="18" spans="1:35" x14ac:dyDescent="0.3">
      <c r="A18" s="45" t="s">
        <v>115</v>
      </c>
      <c r="B18" s="45" t="s">
        <v>116</v>
      </c>
      <c r="C18" s="45" t="s">
        <v>117</v>
      </c>
      <c r="D18" s="45" t="s">
        <v>31</v>
      </c>
      <c r="E18" s="45" t="s">
        <v>42</v>
      </c>
      <c r="F18" s="45">
        <v>4000</v>
      </c>
      <c r="G18" s="45">
        <v>3800</v>
      </c>
      <c r="H18" s="45"/>
      <c r="I18" s="45"/>
      <c r="J18" s="45"/>
      <c r="K18" s="45"/>
      <c r="L18" s="29">
        <f t="shared" si="3"/>
        <v>0</v>
      </c>
      <c r="M18" s="30">
        <v>0.6</v>
      </c>
      <c r="N18" s="48">
        <v>46267</v>
      </c>
      <c r="O18" s="48">
        <v>46267</v>
      </c>
      <c r="P18" s="48">
        <v>46287</v>
      </c>
      <c r="Q18" s="32">
        <v>46283</v>
      </c>
      <c r="R18" s="33">
        <f t="shared" si="4"/>
        <v>13</v>
      </c>
      <c r="S18" s="34">
        <v>46290</v>
      </c>
      <c r="T18" s="35">
        <f t="shared" si="5"/>
        <v>6</v>
      </c>
      <c r="U18" s="36">
        <v>46293</v>
      </c>
      <c r="V18" s="37">
        <f t="shared" si="6"/>
        <v>2</v>
      </c>
      <c r="W18" s="38">
        <v>46294</v>
      </c>
      <c r="X18" s="39">
        <f t="shared" si="0"/>
        <v>2</v>
      </c>
      <c r="Y18" s="39">
        <f t="shared" si="7"/>
        <v>20</v>
      </c>
      <c r="Z18" s="28" t="str">
        <f t="shared" si="1"/>
        <v>EFICIENTE</v>
      </c>
      <c r="AA18" s="27" t="s">
        <v>71</v>
      </c>
      <c r="AB18" s="45" t="s">
        <v>118</v>
      </c>
      <c r="AC18" s="45">
        <v>31.56</v>
      </c>
      <c r="AD18" s="45">
        <v>4</v>
      </c>
      <c r="AE18" s="45">
        <v>10</v>
      </c>
      <c r="AF18" s="27">
        <f t="shared" si="9"/>
        <v>6</v>
      </c>
      <c r="AG18" s="45"/>
      <c r="AH18" s="40">
        <f t="shared" si="8"/>
        <v>46295</v>
      </c>
      <c r="AI18" s="45"/>
    </row>
    <row r="19" spans="1:35" x14ac:dyDescent="0.3">
      <c r="A19" s="45" t="s">
        <v>119</v>
      </c>
      <c r="B19" s="45" t="s">
        <v>120</v>
      </c>
      <c r="C19" s="45" t="s">
        <v>121</v>
      </c>
      <c r="D19" s="45" t="s">
        <v>104</v>
      </c>
      <c r="E19" s="45" t="s">
        <v>52</v>
      </c>
      <c r="F19" s="45">
        <v>19000</v>
      </c>
      <c r="G19" s="45">
        <v>17824</v>
      </c>
      <c r="H19" s="45"/>
      <c r="I19" s="45"/>
      <c r="J19" s="45"/>
      <c r="K19" s="45"/>
      <c r="L19" s="29">
        <f t="shared" si="3"/>
        <v>0</v>
      </c>
      <c r="M19" s="30">
        <v>0.96</v>
      </c>
      <c r="N19" s="48">
        <v>46246</v>
      </c>
      <c r="O19" s="48">
        <v>46246</v>
      </c>
      <c r="P19" s="48">
        <v>46287</v>
      </c>
      <c r="Q19" s="32">
        <v>46283</v>
      </c>
      <c r="R19" s="33">
        <f t="shared" si="4"/>
        <v>28</v>
      </c>
      <c r="S19" s="34"/>
      <c r="T19" s="35" t="str">
        <f t="shared" si="5"/>
        <v/>
      </c>
      <c r="U19" s="36"/>
      <c r="V19" s="37" t="str">
        <f t="shared" si="6"/>
        <v/>
      </c>
      <c r="W19" s="38"/>
      <c r="X19" s="39" t="str">
        <f t="shared" si="0"/>
        <v/>
      </c>
      <c r="Y19" s="39" t="str">
        <f t="shared" si="7"/>
        <v/>
      </c>
      <c r="Z19" s="28" t="str">
        <f t="shared" si="1"/>
        <v/>
      </c>
      <c r="AA19" s="27" t="s">
        <v>36</v>
      </c>
      <c r="AB19" s="45" t="s">
        <v>103</v>
      </c>
      <c r="AC19" s="45">
        <v>13.56</v>
      </c>
      <c r="AD19" s="45">
        <v>8</v>
      </c>
      <c r="AE19" s="45">
        <v>10</v>
      </c>
      <c r="AF19" s="27">
        <f t="shared" si="9"/>
        <v>19</v>
      </c>
      <c r="AG19" s="45"/>
      <c r="AH19" s="40">
        <f t="shared" si="8"/>
        <v>46314</v>
      </c>
      <c r="AI19" s="45"/>
    </row>
    <row r="20" spans="1:35" x14ac:dyDescent="0.3">
      <c r="A20" s="45" t="s">
        <v>123</v>
      </c>
      <c r="B20" s="45" t="s">
        <v>120</v>
      </c>
      <c r="C20" s="45" t="s">
        <v>124</v>
      </c>
      <c r="D20" s="45" t="s">
        <v>104</v>
      </c>
      <c r="E20" s="45" t="s">
        <v>52</v>
      </c>
      <c r="F20" s="45">
        <v>11000</v>
      </c>
      <c r="G20" s="45">
        <v>3266</v>
      </c>
      <c r="H20" s="45"/>
      <c r="I20" s="45"/>
      <c r="J20" s="45"/>
      <c r="K20" s="45"/>
      <c r="L20" s="29">
        <f t="shared" si="3"/>
        <v>0</v>
      </c>
      <c r="M20" s="30">
        <v>0.77</v>
      </c>
      <c r="N20" s="48">
        <v>46246</v>
      </c>
      <c r="O20" s="48">
        <v>46246</v>
      </c>
      <c r="P20" s="48">
        <v>46294</v>
      </c>
      <c r="Q20" s="32">
        <v>46287</v>
      </c>
      <c r="R20" s="33">
        <f t="shared" si="4"/>
        <v>30</v>
      </c>
      <c r="S20" s="34"/>
      <c r="T20" s="35" t="str">
        <f t="shared" si="5"/>
        <v/>
      </c>
      <c r="U20" s="36"/>
      <c r="V20" s="37" t="str">
        <f t="shared" si="6"/>
        <v/>
      </c>
      <c r="W20" s="38"/>
      <c r="X20" s="39" t="str">
        <f t="shared" si="0"/>
        <v/>
      </c>
      <c r="Y20" s="39" t="str">
        <f t="shared" si="7"/>
        <v/>
      </c>
      <c r="Z20" s="28" t="str">
        <f t="shared" si="1"/>
        <v/>
      </c>
      <c r="AA20" s="27" t="s">
        <v>36</v>
      </c>
      <c r="AB20" s="45" t="s">
        <v>103</v>
      </c>
      <c r="AC20" s="45">
        <v>13.8</v>
      </c>
      <c r="AD20" s="45">
        <v>6</v>
      </c>
      <c r="AE20" s="45">
        <v>10</v>
      </c>
      <c r="AF20" s="27">
        <f t="shared" si="9"/>
        <v>18</v>
      </c>
      <c r="AG20" s="45"/>
      <c r="AH20" s="40">
        <f t="shared" si="8"/>
        <v>46318</v>
      </c>
      <c r="AI20" s="45"/>
    </row>
    <row r="21" spans="1:35" x14ac:dyDescent="0.3">
      <c r="A21" s="45" t="s">
        <v>125</v>
      </c>
      <c r="B21" s="45" t="s">
        <v>126</v>
      </c>
      <c r="C21" s="45" t="s">
        <v>70</v>
      </c>
      <c r="D21" s="45" t="s">
        <v>31</v>
      </c>
      <c r="E21" s="45" t="s">
        <v>42</v>
      </c>
      <c r="F21" s="45">
        <v>6000</v>
      </c>
      <c r="G21" s="45">
        <v>5384</v>
      </c>
      <c r="H21" s="45"/>
      <c r="I21" s="45"/>
      <c r="J21" s="45"/>
      <c r="K21" s="45"/>
      <c r="L21" s="29">
        <f t="shared" si="3"/>
        <v>0</v>
      </c>
      <c r="M21" s="30">
        <v>0.53</v>
      </c>
      <c r="N21" s="48">
        <v>46276</v>
      </c>
      <c r="O21" s="48">
        <v>46276</v>
      </c>
      <c r="P21" s="48">
        <v>46296</v>
      </c>
      <c r="Q21" s="32">
        <v>46294</v>
      </c>
      <c r="R21" s="33">
        <f t="shared" si="4"/>
        <v>13</v>
      </c>
      <c r="S21" s="34">
        <v>46296</v>
      </c>
      <c r="T21" s="35">
        <f t="shared" si="5"/>
        <v>3</v>
      </c>
      <c r="U21" s="36"/>
      <c r="V21" s="37" t="str">
        <f t="shared" si="6"/>
        <v/>
      </c>
      <c r="W21" s="38"/>
      <c r="X21" s="39" t="str">
        <f t="shared" si="0"/>
        <v/>
      </c>
      <c r="Y21" s="39" t="str">
        <f t="shared" si="7"/>
        <v/>
      </c>
      <c r="Z21" s="28" t="str">
        <f t="shared" si="1"/>
        <v/>
      </c>
      <c r="AA21" s="27" t="s">
        <v>71</v>
      </c>
      <c r="AB21" s="45" t="s">
        <v>141</v>
      </c>
      <c r="AC21" s="45">
        <v>89.76</v>
      </c>
      <c r="AD21" s="45">
        <v>6</v>
      </c>
      <c r="AE21" s="45">
        <v>24</v>
      </c>
      <c r="AF21" s="27">
        <f t="shared" si="9"/>
        <v>1</v>
      </c>
      <c r="AG21" s="45">
        <f>20/24</f>
        <v>0.83333333333333337</v>
      </c>
      <c r="AH21" s="40">
        <f t="shared" si="8"/>
        <v>46297</v>
      </c>
      <c r="AI21" s="45"/>
    </row>
    <row r="22" spans="1:35" x14ac:dyDescent="0.3">
      <c r="A22" s="45" t="s">
        <v>142</v>
      </c>
      <c r="B22" s="45" t="s">
        <v>143</v>
      </c>
      <c r="C22" s="45" t="s">
        <v>144</v>
      </c>
      <c r="D22" s="45" t="s">
        <v>31</v>
      </c>
      <c r="E22" s="45" t="s">
        <v>146</v>
      </c>
      <c r="F22" s="45">
        <v>8000</v>
      </c>
      <c r="G22" s="45">
        <v>4996</v>
      </c>
      <c r="H22" s="45"/>
      <c r="I22" s="45"/>
      <c r="J22" s="45"/>
      <c r="K22" s="45"/>
      <c r="L22" s="29">
        <f t="shared" si="3"/>
        <v>0</v>
      </c>
      <c r="M22" s="30">
        <v>0.83</v>
      </c>
      <c r="N22" s="48">
        <v>46276</v>
      </c>
      <c r="O22" s="48">
        <v>46276</v>
      </c>
      <c r="P22" s="48">
        <v>46296</v>
      </c>
      <c r="Q22" s="32"/>
      <c r="R22" s="33" t="str">
        <f t="shared" si="4"/>
        <v/>
      </c>
      <c r="S22" s="34"/>
      <c r="T22" s="35" t="str">
        <f t="shared" si="5"/>
        <v/>
      </c>
      <c r="U22" s="36"/>
      <c r="V22" s="37" t="str">
        <f t="shared" si="6"/>
        <v/>
      </c>
      <c r="W22" s="38"/>
      <c r="X22" s="39" t="str">
        <f t="shared" si="0"/>
        <v/>
      </c>
      <c r="Y22" s="39" t="str">
        <f t="shared" si="7"/>
        <v/>
      </c>
      <c r="Z22" s="28" t="str">
        <f t="shared" si="1"/>
        <v/>
      </c>
      <c r="AA22" s="27" t="s">
        <v>36</v>
      </c>
      <c r="AB22" s="45" t="s">
        <v>141</v>
      </c>
      <c r="AC22" s="45">
        <v>48.96</v>
      </c>
      <c r="AD22" s="45">
        <v>4</v>
      </c>
      <c r="AE22" s="45">
        <v>10</v>
      </c>
      <c r="AF22" s="27">
        <f t="shared" si="9"/>
        <v>5</v>
      </c>
      <c r="AG22" s="45"/>
      <c r="AH22" s="40">
        <f t="shared" si="8"/>
        <v>46303</v>
      </c>
      <c r="AI22" s="45"/>
    </row>
    <row r="23" spans="1:35" x14ac:dyDescent="0.3">
      <c r="A23" s="45" t="s">
        <v>147</v>
      </c>
      <c r="B23" s="45" t="s">
        <v>148</v>
      </c>
      <c r="C23" s="45" t="s">
        <v>149</v>
      </c>
      <c r="D23" s="45" t="s">
        <v>104</v>
      </c>
      <c r="E23" s="45" t="s">
        <v>150</v>
      </c>
      <c r="F23" s="45">
        <v>2024</v>
      </c>
      <c r="G23" s="45">
        <f>37*6</f>
        <v>222</v>
      </c>
      <c r="H23" s="45"/>
      <c r="I23" s="45"/>
      <c r="J23" s="45"/>
      <c r="K23" s="45"/>
      <c r="L23" s="29">
        <f t="shared" si="3"/>
        <v>0</v>
      </c>
      <c r="M23" s="30"/>
      <c r="N23" s="48">
        <v>46281</v>
      </c>
      <c r="O23" s="48">
        <v>46281</v>
      </c>
      <c r="P23" s="48">
        <v>46297</v>
      </c>
      <c r="Q23" s="32"/>
      <c r="R23" s="33" t="str">
        <f t="shared" si="4"/>
        <v/>
      </c>
      <c r="S23" s="34"/>
      <c r="T23" s="35" t="str">
        <f t="shared" si="5"/>
        <v/>
      </c>
      <c r="U23" s="36"/>
      <c r="V23" s="37" t="str">
        <f t="shared" si="6"/>
        <v/>
      </c>
      <c r="W23" s="38"/>
      <c r="X23" s="39" t="str">
        <f t="shared" si="0"/>
        <v/>
      </c>
      <c r="Y23" s="39" t="str">
        <f t="shared" si="7"/>
        <v/>
      </c>
      <c r="Z23" s="28" t="str">
        <f t="shared" si="1"/>
        <v/>
      </c>
      <c r="AA23" s="27" t="s">
        <v>36</v>
      </c>
      <c r="AB23" s="45" t="s">
        <v>151</v>
      </c>
      <c r="AC23" s="45"/>
      <c r="AD23" s="45">
        <v>6</v>
      </c>
      <c r="AE23" s="45">
        <v>10</v>
      </c>
      <c r="AF23" s="27" t="e">
        <f t="shared" si="9"/>
        <v>#DIV/0!</v>
      </c>
      <c r="AG23" s="45"/>
      <c r="AH23" s="40" t="e">
        <f t="shared" si="8"/>
        <v>#DIV/0!</v>
      </c>
      <c r="AI23" s="45"/>
    </row>
    <row r="24" spans="1:35" x14ac:dyDescent="0.3">
      <c r="A24" s="45" t="s">
        <v>152</v>
      </c>
      <c r="B24" s="45" t="s">
        <v>153</v>
      </c>
      <c r="C24" s="45" t="s">
        <v>154</v>
      </c>
      <c r="D24" s="45" t="s">
        <v>104</v>
      </c>
      <c r="E24" s="45"/>
      <c r="F24" s="45"/>
      <c r="G24" s="45"/>
      <c r="H24" s="45"/>
      <c r="I24" s="45"/>
      <c r="J24" s="45"/>
      <c r="K24" s="45"/>
      <c r="L24" s="29" t="e">
        <f t="shared" si="3"/>
        <v>#DIV/0!</v>
      </c>
      <c r="M24" s="30"/>
      <c r="N24" s="48">
        <v>46281</v>
      </c>
      <c r="O24" s="48">
        <v>46284</v>
      </c>
      <c r="P24" s="48"/>
      <c r="Q24" s="32"/>
      <c r="R24" s="33" t="str">
        <f t="shared" si="4"/>
        <v/>
      </c>
      <c r="S24" s="34"/>
      <c r="T24" s="35" t="str">
        <f t="shared" si="5"/>
        <v/>
      </c>
      <c r="U24" s="36"/>
      <c r="V24" s="37" t="str">
        <f t="shared" si="6"/>
        <v/>
      </c>
      <c r="W24" s="38"/>
      <c r="X24" s="39" t="str">
        <f t="shared" si="0"/>
        <v/>
      </c>
      <c r="Y24" s="39" t="str">
        <f t="shared" si="7"/>
        <v/>
      </c>
      <c r="Z24" s="28" t="str">
        <f t="shared" si="1"/>
        <v/>
      </c>
      <c r="AA24" s="27" t="s">
        <v>107</v>
      </c>
      <c r="AB24" s="45" t="s">
        <v>155</v>
      </c>
      <c r="AC24" s="45"/>
      <c r="AD24" s="45">
        <v>4</v>
      </c>
      <c r="AE24" s="45"/>
      <c r="AF24" s="27" t="e">
        <f t="shared" si="9"/>
        <v>#DIV/0!</v>
      </c>
      <c r="AG24" s="45"/>
      <c r="AH24" s="40" t="e">
        <f t="shared" si="8"/>
        <v>#DIV/0!</v>
      </c>
      <c r="AI24" s="45"/>
    </row>
    <row r="25" spans="1:35" x14ac:dyDescent="0.3">
      <c r="A25" s="45" t="s">
        <v>156</v>
      </c>
      <c r="B25" s="45" t="s">
        <v>120</v>
      </c>
      <c r="C25" s="45" t="s">
        <v>157</v>
      </c>
      <c r="D25" s="45" t="s">
        <v>104</v>
      </c>
      <c r="E25" s="45"/>
      <c r="F25" s="45">
        <v>19000</v>
      </c>
      <c r="G25" s="45"/>
      <c r="H25" s="45"/>
      <c r="I25" s="45"/>
      <c r="J25" s="45"/>
      <c r="K25" s="45"/>
      <c r="L25" s="29" t="e">
        <f t="shared" si="3"/>
        <v>#DIV/0!</v>
      </c>
      <c r="M25" s="30"/>
      <c r="N25" s="48">
        <v>46246</v>
      </c>
      <c r="O25" s="48">
        <v>46246</v>
      </c>
      <c r="P25" s="48"/>
      <c r="Q25" s="32"/>
      <c r="R25" s="33" t="str">
        <f t="shared" si="4"/>
        <v/>
      </c>
      <c r="S25" s="34"/>
      <c r="T25" s="35" t="str">
        <f t="shared" si="5"/>
        <v/>
      </c>
      <c r="U25" s="36"/>
      <c r="V25" s="37" t="str">
        <f t="shared" si="6"/>
        <v/>
      </c>
      <c r="W25" s="38"/>
      <c r="X25" s="39" t="str">
        <f t="shared" si="0"/>
        <v/>
      </c>
      <c r="Y25" s="39" t="str">
        <f t="shared" si="7"/>
        <v/>
      </c>
      <c r="Z25" s="28" t="str">
        <f t="shared" si="1"/>
        <v/>
      </c>
      <c r="AA25" s="27" t="s">
        <v>107</v>
      </c>
      <c r="AB25" s="45" t="s">
        <v>103</v>
      </c>
      <c r="AC25" s="45"/>
      <c r="AD25" s="45">
        <v>8</v>
      </c>
      <c r="AE25" s="45"/>
      <c r="AF25" s="27" t="e">
        <f t="shared" si="9"/>
        <v>#DIV/0!</v>
      </c>
      <c r="AG25" s="45"/>
      <c r="AH25" s="40" t="e">
        <f t="shared" si="8"/>
        <v>#DIV/0!</v>
      </c>
      <c r="AI25" s="45"/>
    </row>
    <row r="26" spans="1:35" x14ac:dyDescent="0.3">
      <c r="A26" s="45" t="s">
        <v>158</v>
      </c>
      <c r="B26" s="45" t="s">
        <v>159</v>
      </c>
      <c r="C26" s="45" t="s">
        <v>160</v>
      </c>
      <c r="D26" s="45" t="s">
        <v>104</v>
      </c>
      <c r="E26" s="45" t="s">
        <v>139</v>
      </c>
      <c r="F26" s="45">
        <v>10120</v>
      </c>
      <c r="G26" s="45">
        <v>927</v>
      </c>
      <c r="H26" s="45"/>
      <c r="I26" s="45"/>
      <c r="J26" s="45"/>
      <c r="K26" s="45"/>
      <c r="L26" s="29">
        <f t="shared" si="3"/>
        <v>0</v>
      </c>
      <c r="M26" s="30"/>
      <c r="N26" s="48">
        <v>46261</v>
      </c>
      <c r="O26" s="48">
        <v>46261</v>
      </c>
      <c r="P26" s="48">
        <v>46288</v>
      </c>
      <c r="Q26" s="32"/>
      <c r="R26" s="33" t="str">
        <f t="shared" si="4"/>
        <v/>
      </c>
      <c r="S26" s="34"/>
      <c r="T26" s="35" t="str">
        <f t="shared" si="5"/>
        <v/>
      </c>
      <c r="U26" s="36"/>
      <c r="V26" s="37" t="str">
        <f t="shared" si="6"/>
        <v/>
      </c>
      <c r="W26" s="38"/>
      <c r="X26" s="39" t="str">
        <f t="shared" si="0"/>
        <v/>
      </c>
      <c r="Y26" s="39" t="str">
        <f t="shared" si="7"/>
        <v/>
      </c>
      <c r="Z26" s="28" t="str">
        <f t="shared" si="1"/>
        <v/>
      </c>
      <c r="AA26" s="27" t="s">
        <v>36</v>
      </c>
      <c r="AB26" s="45" t="s">
        <v>161</v>
      </c>
      <c r="AC26" s="45">
        <v>12.96</v>
      </c>
      <c r="AD26" s="45">
        <v>2</v>
      </c>
      <c r="AE26" s="45">
        <v>24</v>
      </c>
      <c r="AF26" s="27" t="e">
        <f t="shared" si="9"/>
        <v>#DIV/0!</v>
      </c>
      <c r="AG26" s="45"/>
      <c r="AH26" s="40" t="e">
        <f t="shared" si="8"/>
        <v>#DIV/0!</v>
      </c>
      <c r="AI26" s="45"/>
    </row>
    <row r="27" spans="1:35" x14ac:dyDescent="0.3">
      <c r="A27" s="45" t="s">
        <v>162</v>
      </c>
      <c r="B27" s="45" t="s">
        <v>163</v>
      </c>
      <c r="C27" s="45" t="s">
        <v>164</v>
      </c>
      <c r="D27" s="45" t="s">
        <v>31</v>
      </c>
      <c r="E27" s="45"/>
      <c r="F27" s="45">
        <v>4000</v>
      </c>
      <c r="G27" s="45"/>
      <c r="H27" s="45"/>
      <c r="I27" s="45"/>
      <c r="J27" s="45"/>
      <c r="K27" s="45"/>
      <c r="L27" s="29" t="e">
        <f t="shared" si="3"/>
        <v>#DIV/0!</v>
      </c>
      <c r="M27" s="30"/>
      <c r="N27" s="48">
        <v>46281</v>
      </c>
      <c r="O27" s="48">
        <v>46281</v>
      </c>
      <c r="P27" s="48"/>
      <c r="Q27" s="32"/>
      <c r="R27" s="33" t="str">
        <f t="shared" si="4"/>
        <v/>
      </c>
      <c r="S27" s="34"/>
      <c r="T27" s="35" t="str">
        <f t="shared" si="5"/>
        <v/>
      </c>
      <c r="U27" s="36"/>
      <c r="V27" s="37" t="str">
        <f t="shared" si="6"/>
        <v/>
      </c>
      <c r="W27" s="38"/>
      <c r="X27" s="39" t="str">
        <f t="shared" si="0"/>
        <v/>
      </c>
      <c r="Y27" s="39" t="str">
        <f t="shared" si="7"/>
        <v/>
      </c>
      <c r="Z27" s="28" t="str">
        <f t="shared" si="1"/>
        <v/>
      </c>
      <c r="AA27" s="27" t="s">
        <v>107</v>
      </c>
      <c r="AB27" s="45" t="s">
        <v>165</v>
      </c>
      <c r="AC27" s="45"/>
      <c r="AD27" s="45"/>
      <c r="AE27" s="45"/>
      <c r="AF27" s="27" t="e">
        <f t="shared" si="9"/>
        <v>#DIV/0!</v>
      </c>
      <c r="AG27" s="45"/>
      <c r="AH27" s="40" t="e">
        <f t="shared" si="8"/>
        <v>#DIV/0!</v>
      </c>
      <c r="AI27" s="45"/>
    </row>
    <row r="28" spans="1:35" x14ac:dyDescent="0.3">
      <c r="A28" s="45" t="s">
        <v>166</v>
      </c>
      <c r="B28" s="45" t="s">
        <v>167</v>
      </c>
      <c r="C28" s="45" t="s">
        <v>168</v>
      </c>
      <c r="D28" s="45" t="s">
        <v>31</v>
      </c>
      <c r="E28" s="45" t="s">
        <v>169</v>
      </c>
      <c r="F28" s="45">
        <v>270000</v>
      </c>
      <c r="G28" s="45">
        <v>28028</v>
      </c>
      <c r="H28" s="45"/>
      <c r="I28" s="45"/>
      <c r="J28" s="45"/>
      <c r="K28" s="45"/>
      <c r="L28" s="29">
        <f t="shared" si="3"/>
        <v>0</v>
      </c>
      <c r="M28" s="30">
        <v>0.75</v>
      </c>
      <c r="N28" s="48">
        <v>46267</v>
      </c>
      <c r="O28" s="48">
        <v>46267</v>
      </c>
      <c r="P28" s="48">
        <v>46283</v>
      </c>
      <c r="Q28" s="32"/>
      <c r="R28" s="33" t="str">
        <f t="shared" si="4"/>
        <v/>
      </c>
      <c r="S28" s="34"/>
      <c r="T28" s="35" t="str">
        <f t="shared" si="5"/>
        <v/>
      </c>
      <c r="U28" s="36"/>
      <c r="V28" s="37" t="str">
        <f t="shared" si="6"/>
        <v/>
      </c>
      <c r="W28" s="38"/>
      <c r="X28" s="39" t="str">
        <f t="shared" si="0"/>
        <v/>
      </c>
      <c r="Y28" s="39" t="str">
        <f t="shared" si="7"/>
        <v/>
      </c>
      <c r="Z28" s="28" t="str">
        <f t="shared" si="1"/>
        <v/>
      </c>
      <c r="AA28" s="27" t="s">
        <v>71</v>
      </c>
      <c r="AB28" s="45" t="s">
        <v>170</v>
      </c>
      <c r="AC28" s="45">
        <v>56.04</v>
      </c>
      <c r="AD28" s="45">
        <v>6</v>
      </c>
      <c r="AE28" s="45">
        <v>24</v>
      </c>
      <c r="AF28" s="27">
        <f t="shared" si="2"/>
        <v>45</v>
      </c>
      <c r="AG28" s="45"/>
      <c r="AH28" s="40">
        <f t="shared" si="8"/>
        <v>46346</v>
      </c>
      <c r="AI28" s="45"/>
    </row>
    <row r="29" spans="1:35" x14ac:dyDescent="0.3">
      <c r="A29" s="45" t="s">
        <v>171</v>
      </c>
      <c r="B29" s="45" t="s">
        <v>172</v>
      </c>
      <c r="C29" s="45" t="s">
        <v>173</v>
      </c>
      <c r="D29" s="45" t="s">
        <v>104</v>
      </c>
      <c r="E29" s="45" t="s">
        <v>174</v>
      </c>
      <c r="F29" s="45">
        <f>1840+1840+1840</f>
        <v>5520</v>
      </c>
      <c r="G29" s="45">
        <v>5330</v>
      </c>
      <c r="H29" s="45"/>
      <c r="I29" s="45"/>
      <c r="J29" s="45"/>
      <c r="K29" s="45"/>
      <c r="L29" s="29">
        <f t="shared" si="3"/>
        <v>0</v>
      </c>
      <c r="M29" s="30">
        <v>0.65</v>
      </c>
      <c r="N29" s="48">
        <v>46266</v>
      </c>
      <c r="O29" s="48">
        <v>46267</v>
      </c>
      <c r="P29" s="48">
        <v>46293</v>
      </c>
      <c r="Q29" s="32"/>
      <c r="R29" s="33" t="str">
        <f t="shared" si="4"/>
        <v/>
      </c>
      <c r="S29" s="34"/>
      <c r="T29" s="35" t="str">
        <f t="shared" si="5"/>
        <v/>
      </c>
      <c r="U29" s="36"/>
      <c r="V29" s="37" t="str">
        <f t="shared" si="6"/>
        <v/>
      </c>
      <c r="W29" s="38"/>
      <c r="X29" s="39" t="str">
        <f t="shared" si="0"/>
        <v/>
      </c>
      <c r="Y29" s="39" t="str">
        <f t="shared" si="7"/>
        <v/>
      </c>
      <c r="Z29" s="28" t="str">
        <f t="shared" si="1"/>
        <v/>
      </c>
      <c r="AA29" s="27" t="s">
        <v>175</v>
      </c>
      <c r="AB29" s="45" t="s">
        <v>176</v>
      </c>
      <c r="AC29" s="45">
        <v>36</v>
      </c>
      <c r="AD29" s="45">
        <v>6</v>
      </c>
      <c r="AE29" s="45">
        <v>24</v>
      </c>
      <c r="AF29" s="27">
        <f t="shared" si="2"/>
        <v>2</v>
      </c>
      <c r="AG29" s="45"/>
      <c r="AH29" s="40">
        <f t="shared" si="8"/>
        <v>46295</v>
      </c>
      <c r="AI29" s="45"/>
    </row>
    <row r="30" spans="1:35" x14ac:dyDescent="0.3">
      <c r="A30" s="45" t="s">
        <v>179</v>
      </c>
      <c r="B30" s="45" t="s">
        <v>180</v>
      </c>
      <c r="C30" s="45" t="s">
        <v>181</v>
      </c>
      <c r="D30" s="45" t="s">
        <v>31</v>
      </c>
      <c r="E30" s="45" t="s">
        <v>139</v>
      </c>
      <c r="F30" s="45">
        <f>13600+13600</f>
        <v>27200</v>
      </c>
      <c r="G30" s="45">
        <v>25766</v>
      </c>
      <c r="H30" s="45">
        <v>31879</v>
      </c>
      <c r="I30" s="45"/>
      <c r="J30" s="45">
        <v>554</v>
      </c>
      <c r="K30" s="45">
        <v>6.35</v>
      </c>
      <c r="L30" s="29">
        <f t="shared" si="3"/>
        <v>2.1501203135915546E-2</v>
      </c>
      <c r="M30" s="30">
        <v>0.74</v>
      </c>
      <c r="N30" s="48">
        <v>46234</v>
      </c>
      <c r="O30" s="48">
        <v>46234</v>
      </c>
      <c r="P30" s="48">
        <v>46252</v>
      </c>
      <c r="Q30" s="32">
        <v>46248</v>
      </c>
      <c r="R30" s="33">
        <f t="shared" si="4"/>
        <v>11</v>
      </c>
      <c r="S30" s="34">
        <v>46279</v>
      </c>
      <c r="T30" s="35">
        <f t="shared" si="5"/>
        <v>22</v>
      </c>
      <c r="U30" s="36">
        <v>46286</v>
      </c>
      <c r="V30" s="37">
        <f t="shared" si="6"/>
        <v>6</v>
      </c>
      <c r="W30" s="38">
        <v>46296</v>
      </c>
      <c r="X30" s="39">
        <f t="shared" si="0"/>
        <v>9</v>
      </c>
      <c r="Y30" s="39">
        <f t="shared" si="7"/>
        <v>45</v>
      </c>
      <c r="Z30" s="28" t="str">
        <f t="shared" si="1"/>
        <v>NO EFICIENTE</v>
      </c>
      <c r="AA30" s="27" t="s">
        <v>71</v>
      </c>
      <c r="AB30" s="45" t="s">
        <v>182</v>
      </c>
      <c r="AC30" s="45">
        <v>85.2</v>
      </c>
      <c r="AD30" s="45">
        <v>6</v>
      </c>
      <c r="AE30" s="45">
        <v>24</v>
      </c>
      <c r="AF30" s="27">
        <f t="shared" si="2"/>
        <v>3</v>
      </c>
      <c r="AG30" s="45">
        <f>78/24</f>
        <v>3.25</v>
      </c>
      <c r="AH30" s="40">
        <f t="shared" si="8"/>
        <v>46255</v>
      </c>
      <c r="AI30" s="45" t="s">
        <v>190</v>
      </c>
    </row>
    <row r="31" spans="1:35" x14ac:dyDescent="0.3">
      <c r="A31" s="45" t="s">
        <v>183</v>
      </c>
      <c r="B31" s="45" t="s">
        <v>184</v>
      </c>
      <c r="C31" s="45" t="s">
        <v>185</v>
      </c>
      <c r="D31" s="45" t="s">
        <v>31</v>
      </c>
      <c r="E31" s="45" t="s">
        <v>139</v>
      </c>
      <c r="F31" s="45">
        <v>3000</v>
      </c>
      <c r="G31" s="45">
        <v>2235</v>
      </c>
      <c r="H31" s="45">
        <v>3613</v>
      </c>
      <c r="I31" s="45"/>
      <c r="J31" s="45">
        <v>429</v>
      </c>
      <c r="K31" s="45">
        <v>5.0999999999999996</v>
      </c>
      <c r="L31" s="29">
        <f t="shared" si="3"/>
        <v>0.1919463087248322</v>
      </c>
      <c r="M31" s="30">
        <v>0.41</v>
      </c>
      <c r="N31" s="48">
        <v>46276</v>
      </c>
      <c r="O31" s="48">
        <v>46276</v>
      </c>
      <c r="P31" s="48">
        <v>46293</v>
      </c>
      <c r="Q31" s="32">
        <v>46286</v>
      </c>
      <c r="R31" s="33">
        <f t="shared" si="4"/>
        <v>7</v>
      </c>
      <c r="S31" s="34">
        <v>46294</v>
      </c>
      <c r="T31" s="35">
        <f t="shared" si="5"/>
        <v>7</v>
      </c>
      <c r="U31" s="36">
        <v>46297</v>
      </c>
      <c r="V31" s="37">
        <f t="shared" si="6"/>
        <v>4</v>
      </c>
      <c r="W31" s="38">
        <v>46296</v>
      </c>
      <c r="X31" s="39">
        <f t="shared" si="0"/>
        <v>-2</v>
      </c>
      <c r="Y31" s="39">
        <f t="shared" si="7"/>
        <v>15</v>
      </c>
      <c r="Z31" s="28" t="str">
        <f t="shared" si="1"/>
        <v>EFICIENTE</v>
      </c>
      <c r="AA31" s="27" t="s">
        <v>71</v>
      </c>
      <c r="AB31" s="45" t="s">
        <v>48</v>
      </c>
      <c r="AC31" s="45">
        <v>83.76</v>
      </c>
      <c r="AD31" s="45">
        <v>4</v>
      </c>
      <c r="AE31" s="45">
        <v>24</v>
      </c>
      <c r="AF31" s="27">
        <f t="shared" si="2"/>
        <v>1</v>
      </c>
      <c r="AG31" s="45">
        <f>15/24</f>
        <v>0.625</v>
      </c>
      <c r="AH31" s="40">
        <f t="shared" si="8"/>
        <v>46294</v>
      </c>
      <c r="AI31" s="45"/>
    </row>
    <row r="32" spans="1:35" x14ac:dyDescent="0.3">
      <c r="A32" s="45" t="s">
        <v>187</v>
      </c>
      <c r="B32" s="45" t="s">
        <v>188</v>
      </c>
      <c r="C32" s="45" t="s">
        <v>189</v>
      </c>
      <c r="D32" s="45" t="s">
        <v>31</v>
      </c>
      <c r="E32" s="45" t="s">
        <v>174</v>
      </c>
      <c r="F32" s="45">
        <v>12000</v>
      </c>
      <c r="G32" s="45">
        <v>12000</v>
      </c>
      <c r="H32" s="45">
        <v>9279</v>
      </c>
      <c r="I32" s="45"/>
      <c r="J32" s="45">
        <v>453</v>
      </c>
      <c r="K32" s="45">
        <v>3.51</v>
      </c>
      <c r="L32" s="29">
        <f t="shared" si="3"/>
        <v>3.7749999999999999E-2</v>
      </c>
      <c r="M32" s="30">
        <v>0.3</v>
      </c>
      <c r="N32" s="48">
        <v>46265</v>
      </c>
      <c r="O32" s="48">
        <v>46265</v>
      </c>
      <c r="P32" s="48">
        <v>46275</v>
      </c>
      <c r="Q32" s="32">
        <v>46273</v>
      </c>
      <c r="R32" s="33">
        <f t="shared" si="4"/>
        <v>7</v>
      </c>
      <c r="S32" s="34">
        <v>46288</v>
      </c>
      <c r="T32" s="35">
        <f t="shared" si="5"/>
        <v>12</v>
      </c>
      <c r="U32" s="36">
        <v>46296</v>
      </c>
      <c r="V32" s="37">
        <f t="shared" si="6"/>
        <v>7</v>
      </c>
      <c r="W32" s="38">
        <v>46296</v>
      </c>
      <c r="X32" s="39">
        <f t="shared" si="0"/>
        <v>1</v>
      </c>
      <c r="Y32" s="39">
        <f t="shared" si="7"/>
        <v>24</v>
      </c>
      <c r="Z32" s="28" t="str">
        <f t="shared" si="1"/>
        <v>NO EFICIENTE</v>
      </c>
      <c r="AA32" s="27" t="s">
        <v>71</v>
      </c>
      <c r="AB32" s="45" t="s">
        <v>191</v>
      </c>
      <c r="AC32" s="45">
        <v>90.12</v>
      </c>
      <c r="AD32" s="45">
        <v>6</v>
      </c>
      <c r="AE32" s="45">
        <v>10</v>
      </c>
      <c r="AF32" s="27">
        <f t="shared" si="2"/>
        <v>8</v>
      </c>
      <c r="AG32" s="45">
        <f>21/10</f>
        <v>2.1</v>
      </c>
      <c r="AH32" s="40">
        <f t="shared" si="8"/>
        <v>46287</v>
      </c>
      <c r="AI32" s="45" t="s">
        <v>192</v>
      </c>
    </row>
    <row r="33" spans="1:35" x14ac:dyDescent="0.3">
      <c r="A33" s="45" t="s">
        <v>194</v>
      </c>
      <c r="B33" s="45" t="s">
        <v>188</v>
      </c>
      <c r="C33" s="45" t="s">
        <v>195</v>
      </c>
      <c r="D33" s="45" t="s">
        <v>31</v>
      </c>
      <c r="E33" s="45" t="s">
        <v>66</v>
      </c>
      <c r="F33" s="45">
        <v>5000</v>
      </c>
      <c r="G33" s="45">
        <v>5339</v>
      </c>
      <c r="H33" s="45">
        <v>4843</v>
      </c>
      <c r="I33" s="45"/>
      <c r="J33" s="45">
        <v>130</v>
      </c>
      <c r="K33" s="45">
        <v>0.99</v>
      </c>
      <c r="L33" s="29">
        <f t="shared" si="3"/>
        <v>2.4349129050383968E-2</v>
      </c>
      <c r="M33" s="30">
        <v>0.47</v>
      </c>
      <c r="N33" s="48">
        <v>46253</v>
      </c>
      <c r="O33" s="48">
        <v>46253</v>
      </c>
      <c r="P33" s="48">
        <v>46293</v>
      </c>
      <c r="Q33" s="32">
        <v>46289</v>
      </c>
      <c r="R33" s="33">
        <f t="shared" si="4"/>
        <v>27</v>
      </c>
      <c r="S33" s="34">
        <v>46294</v>
      </c>
      <c r="T33" s="35">
        <f t="shared" si="5"/>
        <v>4</v>
      </c>
      <c r="U33" s="36">
        <v>46296</v>
      </c>
      <c r="V33" s="37">
        <f t="shared" si="6"/>
        <v>3</v>
      </c>
      <c r="W33" s="38">
        <v>46296</v>
      </c>
      <c r="X33" s="39">
        <f t="shared" si="0"/>
        <v>1</v>
      </c>
      <c r="Y33" s="39">
        <f t="shared" si="7"/>
        <v>32</v>
      </c>
      <c r="Z33" s="28" t="str">
        <f t="shared" si="1"/>
        <v>NO EFICIENTE</v>
      </c>
      <c r="AA33" s="27" t="s">
        <v>71</v>
      </c>
      <c r="AB33" s="45" t="s">
        <v>141</v>
      </c>
      <c r="AC33" s="45">
        <v>89.76</v>
      </c>
      <c r="AD33" s="45">
        <v>5</v>
      </c>
      <c r="AE33" s="45">
        <v>24</v>
      </c>
      <c r="AF33" s="27">
        <f t="shared" si="2"/>
        <v>1</v>
      </c>
      <c r="AG33" s="45">
        <f>22/24</f>
        <v>0.91666666666666663</v>
      </c>
      <c r="AH33" s="40">
        <f t="shared" si="8"/>
        <v>46294</v>
      </c>
      <c r="AI33" s="45" t="s">
        <v>196</v>
      </c>
    </row>
    <row r="34" spans="1:35" x14ac:dyDescent="0.3">
      <c r="A34" s="45" t="s">
        <v>198</v>
      </c>
      <c r="B34" s="45" t="s">
        <v>199</v>
      </c>
      <c r="C34" s="45" t="s">
        <v>164</v>
      </c>
      <c r="D34" s="45" t="s">
        <v>31</v>
      </c>
      <c r="E34" s="45" t="s">
        <v>66</v>
      </c>
      <c r="F34" s="45">
        <v>3000</v>
      </c>
      <c r="G34" s="45">
        <v>2755</v>
      </c>
      <c r="H34" s="45">
        <v>2671</v>
      </c>
      <c r="I34" s="45"/>
      <c r="J34" s="45">
        <v>173</v>
      </c>
      <c r="K34" s="45">
        <v>1.32</v>
      </c>
      <c r="L34" s="29">
        <f t="shared" si="3"/>
        <v>6.2794918330308536E-2</v>
      </c>
      <c r="M34" s="30">
        <v>0.62</v>
      </c>
      <c r="N34" s="48">
        <v>46260</v>
      </c>
      <c r="O34" s="48">
        <v>46292</v>
      </c>
      <c r="P34" s="48">
        <v>46273</v>
      </c>
      <c r="Q34" s="32">
        <v>46265</v>
      </c>
      <c r="R34" s="33">
        <f t="shared" si="4"/>
        <v>4</v>
      </c>
      <c r="S34" s="34">
        <v>46274</v>
      </c>
      <c r="T34" s="35">
        <f t="shared" si="5"/>
        <v>8</v>
      </c>
      <c r="U34" s="36">
        <v>46276</v>
      </c>
      <c r="V34" s="37">
        <f t="shared" si="6"/>
        <v>3</v>
      </c>
      <c r="W34" s="38">
        <v>46280</v>
      </c>
      <c r="X34" s="39">
        <f t="shared" si="0"/>
        <v>3</v>
      </c>
      <c r="Y34" s="39">
        <f t="shared" si="7"/>
        <v>15</v>
      </c>
      <c r="Z34" s="28" t="str">
        <f t="shared" si="1"/>
        <v>EFICIENTE</v>
      </c>
      <c r="AA34" s="27" t="s">
        <v>71</v>
      </c>
      <c r="AB34" s="45" t="s">
        <v>48</v>
      </c>
      <c r="AC34" s="45">
        <v>58.2</v>
      </c>
      <c r="AD34" s="45">
        <v>6</v>
      </c>
      <c r="AE34" s="45">
        <v>10</v>
      </c>
      <c r="AF34" s="27">
        <f>ROUNDUP((F34*1/(AC34*AD34*M34*AE34)),0)</f>
        <v>2</v>
      </c>
      <c r="AG34" s="45">
        <f>12/10</f>
        <v>1.2</v>
      </c>
      <c r="AH34" s="40">
        <f t="shared" si="8"/>
        <v>46275</v>
      </c>
      <c r="AI34" s="45"/>
    </row>
    <row r="35" spans="1:35" x14ac:dyDescent="0.3">
      <c r="A35" s="45" t="s">
        <v>201</v>
      </c>
      <c r="B35" s="45" t="s">
        <v>202</v>
      </c>
      <c r="C35" s="45" t="s">
        <v>203</v>
      </c>
      <c r="D35" s="45" t="s">
        <v>31</v>
      </c>
      <c r="E35" s="45" t="s">
        <v>66</v>
      </c>
      <c r="F35" s="45">
        <v>6000</v>
      </c>
      <c r="G35" s="45">
        <v>6755</v>
      </c>
      <c r="H35" s="45">
        <v>5911</v>
      </c>
      <c r="I35" s="45"/>
      <c r="J35" s="45">
        <v>478</v>
      </c>
      <c r="K35" s="45">
        <v>4.3</v>
      </c>
      <c r="L35" s="29">
        <f t="shared" si="3"/>
        <v>7.0762398223538123E-2</v>
      </c>
      <c r="M35" s="30">
        <v>0.64</v>
      </c>
      <c r="N35" s="48">
        <v>46276</v>
      </c>
      <c r="O35" s="48">
        <v>46276</v>
      </c>
      <c r="P35" s="48">
        <v>46295</v>
      </c>
      <c r="Q35" s="32">
        <v>46293</v>
      </c>
      <c r="R35" s="33">
        <f t="shared" si="4"/>
        <v>12</v>
      </c>
      <c r="S35" s="34">
        <v>46296</v>
      </c>
      <c r="T35" s="35">
        <f t="shared" si="5"/>
        <v>4</v>
      </c>
      <c r="U35" s="36">
        <v>46297</v>
      </c>
      <c r="V35" s="37">
        <f t="shared" si="6"/>
        <v>2</v>
      </c>
      <c r="W35" s="38"/>
      <c r="X35" s="39" t="str">
        <f t="shared" si="0"/>
        <v/>
      </c>
      <c r="Y35" s="39" t="str">
        <f t="shared" si="7"/>
        <v/>
      </c>
      <c r="Z35" s="28" t="str">
        <f t="shared" si="1"/>
        <v/>
      </c>
      <c r="AA35" s="27" t="s">
        <v>71</v>
      </c>
      <c r="AB35" s="45" t="s">
        <v>141</v>
      </c>
      <c r="AC35" s="45">
        <v>84.36</v>
      </c>
      <c r="AD35" s="45">
        <v>6</v>
      </c>
      <c r="AE35" s="45">
        <v>24</v>
      </c>
      <c r="AF35" s="27">
        <f t="shared" si="2"/>
        <v>1</v>
      </c>
      <c r="AG35" s="45">
        <f>19/24</f>
        <v>0.79166666666666663</v>
      </c>
      <c r="AH35" s="40">
        <f t="shared" si="8"/>
        <v>46296</v>
      </c>
      <c r="AI35" s="45"/>
    </row>
    <row r="36" spans="1:35" x14ac:dyDescent="0.3">
      <c r="A36" s="45" t="s">
        <v>204</v>
      </c>
      <c r="B36" s="45" t="s">
        <v>205</v>
      </c>
      <c r="C36" s="45" t="s">
        <v>206</v>
      </c>
      <c r="D36" s="45" t="s">
        <v>31</v>
      </c>
      <c r="E36" s="45" t="s">
        <v>207</v>
      </c>
      <c r="F36" s="45">
        <v>1400</v>
      </c>
      <c r="G36" s="45">
        <v>1320</v>
      </c>
      <c r="H36" s="45">
        <v>1000</v>
      </c>
      <c r="I36" s="45"/>
      <c r="J36" s="45">
        <v>124</v>
      </c>
      <c r="K36" s="45">
        <v>1.9</v>
      </c>
      <c r="L36" s="29">
        <f t="shared" si="3"/>
        <v>9.3939393939393934E-2</v>
      </c>
      <c r="M36" s="30">
        <v>0.81</v>
      </c>
      <c r="N36" s="48">
        <v>46283</v>
      </c>
      <c r="O36" s="48">
        <v>46283</v>
      </c>
      <c r="P36" s="48">
        <v>46295</v>
      </c>
      <c r="Q36" s="32">
        <v>46295</v>
      </c>
      <c r="R36" s="33">
        <f t="shared" si="4"/>
        <v>9</v>
      </c>
      <c r="S36" s="34">
        <v>46296</v>
      </c>
      <c r="T36" s="35">
        <f t="shared" si="5"/>
        <v>2</v>
      </c>
      <c r="U36" s="36">
        <v>46297</v>
      </c>
      <c r="V36" s="37">
        <f t="shared" si="6"/>
        <v>2</v>
      </c>
      <c r="W36" s="38"/>
      <c r="X36" s="39" t="str">
        <f t="shared" si="0"/>
        <v/>
      </c>
      <c r="Y36" s="39" t="str">
        <f t="shared" si="7"/>
        <v/>
      </c>
      <c r="Z36" s="28" t="str">
        <f t="shared" si="1"/>
        <v/>
      </c>
      <c r="AA36" s="27" t="s">
        <v>71</v>
      </c>
      <c r="AB36" s="45" t="s">
        <v>208</v>
      </c>
      <c r="AC36" s="45">
        <v>36.6</v>
      </c>
      <c r="AD36" s="45">
        <v>2</v>
      </c>
      <c r="AE36" s="45">
        <v>24</v>
      </c>
      <c r="AF36" s="27">
        <f t="shared" si="2"/>
        <v>1</v>
      </c>
      <c r="AG36" s="45">
        <f>22/24</f>
        <v>0.91666666666666663</v>
      </c>
      <c r="AH36" s="40">
        <f t="shared" si="8"/>
        <v>46296</v>
      </c>
      <c r="AI36" s="45"/>
    </row>
    <row r="37" spans="1:35" x14ac:dyDescent="0.3">
      <c r="A37" s="45" t="s">
        <v>209</v>
      </c>
      <c r="B37" s="45" t="s">
        <v>210</v>
      </c>
      <c r="C37" s="45" t="s">
        <v>83</v>
      </c>
      <c r="D37" s="45" t="s">
        <v>31</v>
      </c>
      <c r="E37" s="45" t="s">
        <v>52</v>
      </c>
      <c r="F37" s="45">
        <v>1000</v>
      </c>
      <c r="G37" s="45">
        <v>1072</v>
      </c>
      <c r="H37" s="45"/>
      <c r="I37" s="45"/>
      <c r="J37" s="45"/>
      <c r="K37" s="45"/>
      <c r="L37" s="29">
        <f t="shared" si="3"/>
        <v>0</v>
      </c>
      <c r="M37" s="30"/>
      <c r="N37" s="48">
        <v>46273</v>
      </c>
      <c r="O37" s="48">
        <v>46274</v>
      </c>
      <c r="P37" s="48">
        <v>46288</v>
      </c>
      <c r="Q37" s="32">
        <v>46287</v>
      </c>
      <c r="R37" s="33">
        <f t="shared" si="4"/>
        <v>11</v>
      </c>
      <c r="S37" s="34">
        <v>46289</v>
      </c>
      <c r="T37" s="35">
        <f t="shared" si="5"/>
        <v>3</v>
      </c>
      <c r="U37" s="36">
        <v>46293</v>
      </c>
      <c r="V37" s="37">
        <f t="shared" si="6"/>
        <v>3</v>
      </c>
      <c r="W37" s="38">
        <v>46296</v>
      </c>
      <c r="X37" s="39">
        <f t="shared" si="0"/>
        <v>4</v>
      </c>
      <c r="Y37" s="39">
        <f t="shared" si="7"/>
        <v>18</v>
      </c>
      <c r="Z37" s="28" t="str">
        <f t="shared" si="1"/>
        <v>EFICIENTE</v>
      </c>
      <c r="AA37" s="27" t="s">
        <v>71</v>
      </c>
      <c r="AB37" s="45" t="s">
        <v>85</v>
      </c>
      <c r="AC37" s="45">
        <v>40.200000000000003</v>
      </c>
      <c r="AD37" s="45">
        <v>2</v>
      </c>
      <c r="AE37" s="45">
        <v>24</v>
      </c>
      <c r="AF37" s="27" t="e">
        <f t="shared" si="2"/>
        <v>#DIV/0!</v>
      </c>
      <c r="AG37" s="45"/>
      <c r="AH37" s="40" t="e">
        <f t="shared" si="8"/>
        <v>#DIV/0!</v>
      </c>
      <c r="AI37" s="45"/>
    </row>
    <row r="38" spans="1:35" x14ac:dyDescent="0.3">
      <c r="A38" s="45" t="s">
        <v>211</v>
      </c>
      <c r="B38" s="45" t="s">
        <v>212</v>
      </c>
      <c r="C38" s="45" t="s">
        <v>149</v>
      </c>
      <c r="D38" s="45" t="s">
        <v>213</v>
      </c>
      <c r="E38" s="45" t="s">
        <v>42</v>
      </c>
      <c r="F38" s="45">
        <v>2024</v>
      </c>
      <c r="G38" s="45">
        <v>1816</v>
      </c>
      <c r="H38" s="45">
        <v>1072</v>
      </c>
      <c r="I38" s="45"/>
      <c r="J38" s="45"/>
      <c r="K38" s="45"/>
      <c r="L38" s="29">
        <f t="shared" si="3"/>
        <v>0</v>
      </c>
      <c r="M38" s="30"/>
      <c r="N38" s="48">
        <v>46261</v>
      </c>
      <c r="O38" s="48">
        <v>46261</v>
      </c>
      <c r="P38" s="48">
        <v>46282</v>
      </c>
      <c r="Q38" s="32">
        <v>46274</v>
      </c>
      <c r="R38" s="33">
        <f t="shared" si="4"/>
        <v>10</v>
      </c>
      <c r="S38" s="34">
        <v>46287</v>
      </c>
      <c r="T38" s="35">
        <f t="shared" si="5"/>
        <v>10</v>
      </c>
      <c r="U38" s="36">
        <v>46289</v>
      </c>
      <c r="V38" s="37">
        <f t="shared" si="6"/>
        <v>3</v>
      </c>
      <c r="W38" s="38"/>
      <c r="X38" s="39" t="str">
        <f t="shared" si="0"/>
        <v/>
      </c>
      <c r="Y38" s="39" t="str">
        <f t="shared" si="7"/>
        <v/>
      </c>
      <c r="Z38" s="28" t="str">
        <f t="shared" si="1"/>
        <v/>
      </c>
      <c r="AA38" s="27" t="s">
        <v>71</v>
      </c>
      <c r="AB38" s="45" t="s">
        <v>161</v>
      </c>
      <c r="AC38" s="45">
        <v>16.440000000000001</v>
      </c>
      <c r="AD38" s="45">
        <v>6</v>
      </c>
      <c r="AE38" s="45">
        <v>10</v>
      </c>
      <c r="AF38" s="27" t="e">
        <f t="shared" si="2"/>
        <v>#DIV/0!</v>
      </c>
      <c r="AG38" s="45"/>
      <c r="AH38" s="40" t="e">
        <f t="shared" si="8"/>
        <v>#DIV/0!</v>
      </c>
      <c r="AI38" s="45"/>
    </row>
    <row r="39" spans="1:35" x14ac:dyDescent="0.3">
      <c r="A39" s="45" t="s">
        <v>219</v>
      </c>
      <c r="B39" s="45" t="s">
        <v>220</v>
      </c>
      <c r="C39" s="45" t="s">
        <v>144</v>
      </c>
      <c r="D39" s="45" t="s">
        <v>31</v>
      </c>
      <c r="E39" s="45" t="s">
        <v>222</v>
      </c>
      <c r="F39" s="45">
        <v>4500</v>
      </c>
      <c r="G39" s="45">
        <v>4680</v>
      </c>
      <c r="H39" s="45"/>
      <c r="I39" s="45"/>
      <c r="J39" s="45"/>
      <c r="K39" s="45"/>
      <c r="L39" s="29">
        <f t="shared" si="3"/>
        <v>0</v>
      </c>
      <c r="M39" s="30">
        <v>0.7</v>
      </c>
      <c r="N39" s="48">
        <v>46254</v>
      </c>
      <c r="O39" s="48">
        <v>46255</v>
      </c>
      <c r="P39" s="48">
        <v>46288</v>
      </c>
      <c r="Q39" s="32">
        <v>46272</v>
      </c>
      <c r="R39" s="33">
        <f t="shared" si="4"/>
        <v>13</v>
      </c>
      <c r="S39" s="34">
        <v>46289</v>
      </c>
      <c r="T39" s="35">
        <f t="shared" si="5"/>
        <v>14</v>
      </c>
      <c r="U39" s="36">
        <v>46295</v>
      </c>
      <c r="V39" s="37">
        <f t="shared" si="6"/>
        <v>5</v>
      </c>
      <c r="W39" s="38">
        <v>46296</v>
      </c>
      <c r="X39" s="39">
        <f t="shared" si="0"/>
        <v>2</v>
      </c>
      <c r="Y39" s="39">
        <f t="shared" si="7"/>
        <v>31</v>
      </c>
      <c r="Z39" s="28" t="str">
        <f t="shared" si="1"/>
        <v>NO EFICIENTE</v>
      </c>
      <c r="AA39" s="27" t="s">
        <v>71</v>
      </c>
      <c r="AB39" s="45" t="s">
        <v>43</v>
      </c>
      <c r="AC39" s="45">
        <v>58.2</v>
      </c>
      <c r="AD39" s="45">
        <v>3</v>
      </c>
      <c r="AE39" s="45">
        <v>10</v>
      </c>
      <c r="AF39" s="27">
        <f t="shared" si="2"/>
        <v>4</v>
      </c>
      <c r="AG39" s="45"/>
      <c r="AH39" s="40">
        <f t="shared" si="8"/>
        <v>46294</v>
      </c>
      <c r="AI39" s="45"/>
    </row>
    <row r="40" spans="1:35" x14ac:dyDescent="0.3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29" t="e">
        <f t="shared" si="3"/>
        <v>#DIV/0!</v>
      </c>
      <c r="M40" s="30"/>
      <c r="N40" s="48"/>
      <c r="O40" s="48"/>
      <c r="P40" s="48"/>
      <c r="Q40" s="32"/>
      <c r="R40" s="33" t="str">
        <f t="shared" si="4"/>
        <v/>
      </c>
      <c r="S40" s="34"/>
      <c r="T40" s="35" t="str">
        <f t="shared" si="5"/>
        <v/>
      </c>
      <c r="U40" s="36"/>
      <c r="V40" s="37" t="str">
        <f t="shared" si="6"/>
        <v/>
      </c>
      <c r="W40" s="38"/>
      <c r="X40" s="39" t="str">
        <f t="shared" si="0"/>
        <v/>
      </c>
      <c r="Y40" s="39" t="str">
        <f t="shared" si="7"/>
        <v/>
      </c>
      <c r="Z40" s="28" t="str">
        <f t="shared" si="1"/>
        <v/>
      </c>
      <c r="AA40" s="27"/>
      <c r="AB40" s="45"/>
      <c r="AC40" s="45"/>
      <c r="AD40" s="45"/>
      <c r="AE40" s="45"/>
      <c r="AF40" s="27" t="e">
        <f t="shared" si="2"/>
        <v>#DIV/0!</v>
      </c>
      <c r="AG40" s="45"/>
      <c r="AH40" s="40" t="e">
        <f t="shared" si="8"/>
        <v>#DIV/0!</v>
      </c>
      <c r="AI40" s="45"/>
    </row>
    <row r="41" spans="1:35" x14ac:dyDescent="0.3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29" t="e">
        <f t="shared" si="3"/>
        <v>#DIV/0!</v>
      </c>
      <c r="M41" s="30"/>
      <c r="N41" s="48"/>
      <c r="O41" s="48"/>
      <c r="P41" s="48"/>
      <c r="Q41" s="32"/>
      <c r="R41" s="33" t="str">
        <f t="shared" si="4"/>
        <v/>
      </c>
      <c r="S41" s="34"/>
      <c r="T41" s="35" t="str">
        <f t="shared" si="5"/>
        <v/>
      </c>
      <c r="U41" s="36"/>
      <c r="V41" s="37" t="str">
        <f t="shared" si="6"/>
        <v/>
      </c>
      <c r="W41" s="38"/>
      <c r="X41" s="39" t="str">
        <f t="shared" si="0"/>
        <v/>
      </c>
      <c r="Y41" s="39" t="str">
        <f t="shared" si="7"/>
        <v/>
      </c>
      <c r="Z41" s="28" t="str">
        <f t="shared" si="1"/>
        <v/>
      </c>
      <c r="AA41" s="27"/>
      <c r="AB41" s="45"/>
      <c r="AC41" s="45"/>
      <c r="AD41" s="45"/>
      <c r="AE41" s="45"/>
      <c r="AF41" s="27" t="e">
        <f t="shared" si="2"/>
        <v>#DIV/0!</v>
      </c>
      <c r="AG41" s="45"/>
      <c r="AH41" s="40" t="e">
        <f t="shared" si="8"/>
        <v>#DIV/0!</v>
      </c>
      <c r="AI41" s="45"/>
    </row>
    <row r="42" spans="1:35" x14ac:dyDescent="0.3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29" t="e">
        <f t="shared" si="3"/>
        <v>#DIV/0!</v>
      </c>
      <c r="M42" s="30"/>
      <c r="N42" s="48"/>
      <c r="O42" s="48"/>
      <c r="P42" s="48"/>
      <c r="Q42" s="32"/>
      <c r="R42" s="33" t="str">
        <f t="shared" si="4"/>
        <v/>
      </c>
      <c r="S42" s="34"/>
      <c r="T42" s="35" t="str">
        <f t="shared" si="5"/>
        <v/>
      </c>
      <c r="U42" s="36"/>
      <c r="V42" s="37" t="str">
        <f t="shared" si="6"/>
        <v/>
      </c>
      <c r="W42" s="38"/>
      <c r="X42" s="39" t="str">
        <f t="shared" si="0"/>
        <v/>
      </c>
      <c r="Y42" s="39" t="str">
        <f t="shared" si="7"/>
        <v/>
      </c>
      <c r="Z42" s="28" t="str">
        <f t="shared" si="1"/>
        <v/>
      </c>
      <c r="AA42" s="27"/>
      <c r="AB42" s="45"/>
      <c r="AC42" s="45"/>
      <c r="AD42" s="45"/>
      <c r="AE42" s="45"/>
      <c r="AF42" s="27" t="e">
        <f t="shared" si="2"/>
        <v>#DIV/0!</v>
      </c>
      <c r="AG42" s="45"/>
      <c r="AH42" s="40" t="e">
        <f t="shared" si="8"/>
        <v>#DIV/0!</v>
      </c>
      <c r="AI42" s="45"/>
    </row>
    <row r="43" spans="1:35" x14ac:dyDescent="0.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29" t="e">
        <f t="shared" si="3"/>
        <v>#DIV/0!</v>
      </c>
      <c r="M43" s="30"/>
      <c r="N43" s="48"/>
      <c r="O43" s="48"/>
      <c r="P43" s="48"/>
      <c r="Q43" s="32"/>
      <c r="R43" s="33" t="str">
        <f t="shared" si="4"/>
        <v/>
      </c>
      <c r="S43" s="34"/>
      <c r="T43" s="35" t="str">
        <f t="shared" si="5"/>
        <v/>
      </c>
      <c r="U43" s="36"/>
      <c r="V43" s="37" t="str">
        <f t="shared" si="6"/>
        <v/>
      </c>
      <c r="W43" s="38"/>
      <c r="X43" s="39" t="str">
        <f t="shared" si="0"/>
        <v/>
      </c>
      <c r="Y43" s="39" t="str">
        <f t="shared" si="7"/>
        <v/>
      </c>
      <c r="Z43" s="28" t="str">
        <f t="shared" si="1"/>
        <v/>
      </c>
      <c r="AA43" s="27"/>
      <c r="AB43" s="45"/>
      <c r="AC43" s="45"/>
      <c r="AD43" s="45"/>
      <c r="AE43" s="45"/>
      <c r="AF43" s="27" t="e">
        <f t="shared" si="2"/>
        <v>#DIV/0!</v>
      </c>
      <c r="AG43" s="45"/>
      <c r="AH43" s="40" t="e">
        <f t="shared" si="8"/>
        <v>#DIV/0!</v>
      </c>
      <c r="AI43" s="45"/>
    </row>
    <row r="44" spans="1:35" x14ac:dyDescent="0.3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29" t="e">
        <f t="shared" si="3"/>
        <v>#DIV/0!</v>
      </c>
      <c r="M44" s="30"/>
      <c r="N44" s="48"/>
      <c r="O44" s="48"/>
      <c r="P44" s="48"/>
      <c r="Q44" s="32"/>
      <c r="R44" s="33" t="str">
        <f t="shared" si="4"/>
        <v/>
      </c>
      <c r="S44" s="34"/>
      <c r="T44" s="35" t="str">
        <f t="shared" si="5"/>
        <v/>
      </c>
      <c r="U44" s="36"/>
      <c r="V44" s="37" t="str">
        <f t="shared" si="6"/>
        <v/>
      </c>
      <c r="W44" s="38"/>
      <c r="X44" s="39" t="str">
        <f t="shared" si="0"/>
        <v/>
      </c>
      <c r="Y44" s="39" t="str">
        <f t="shared" si="7"/>
        <v/>
      </c>
      <c r="Z44" s="28" t="str">
        <f t="shared" si="1"/>
        <v/>
      </c>
      <c r="AA44" s="27"/>
      <c r="AB44" s="45"/>
      <c r="AC44" s="45"/>
      <c r="AD44" s="45"/>
      <c r="AE44" s="45"/>
      <c r="AF44" s="27" t="e">
        <f t="shared" si="2"/>
        <v>#DIV/0!</v>
      </c>
      <c r="AG44" s="45"/>
      <c r="AH44" s="40" t="e">
        <f t="shared" si="8"/>
        <v>#DIV/0!</v>
      </c>
      <c r="AI44" s="45"/>
    </row>
    <row r="45" spans="1:35" ht="25.5" customHeight="1" x14ac:dyDescent="0.45">
      <c r="A45" s="64" t="s">
        <v>75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6"/>
    </row>
    <row r="46" spans="1:35" x14ac:dyDescent="0.3">
      <c r="A46" s="49" t="s">
        <v>68</v>
      </c>
      <c r="B46" s="45" t="s">
        <v>69</v>
      </c>
      <c r="C46" s="45" t="s">
        <v>70</v>
      </c>
      <c r="D46" s="45" t="s">
        <v>31</v>
      </c>
      <c r="E46" s="45" t="s">
        <v>42</v>
      </c>
      <c r="F46" s="45">
        <v>6000</v>
      </c>
      <c r="G46" s="45">
        <v>6429</v>
      </c>
      <c r="H46" s="45"/>
      <c r="I46" s="45"/>
      <c r="J46" s="45">
        <v>186</v>
      </c>
      <c r="K46" s="45">
        <v>3.35</v>
      </c>
      <c r="L46" s="29">
        <f>+J46/G46</f>
        <v>2.8931404573028466E-2</v>
      </c>
      <c r="M46" s="30">
        <v>0.84</v>
      </c>
      <c r="N46" s="48">
        <v>46247</v>
      </c>
      <c r="O46" s="48">
        <v>46247</v>
      </c>
      <c r="P46" s="48">
        <v>46268</v>
      </c>
      <c r="Q46" s="32">
        <v>46265</v>
      </c>
      <c r="R46" s="33">
        <f>IF(Q46="","",NETWORKDAYS(N46,Q46))</f>
        <v>13</v>
      </c>
      <c r="S46" s="34">
        <v>46268</v>
      </c>
      <c r="U46" s="36">
        <v>46272</v>
      </c>
      <c r="V46" s="37">
        <f>IF(U46="","",NETWORKDAYS(S46,U46))</f>
        <v>3</v>
      </c>
      <c r="W46" s="38">
        <v>46272</v>
      </c>
      <c r="X46" s="39">
        <f t="shared" ref="X46:X48" si="10">IF(W46="","",NETWORKDAYS(U46,W46))</f>
        <v>1</v>
      </c>
      <c r="Y46" s="39">
        <f>IF(W46="","",NETWORKDAYS(N46,W46))</f>
        <v>18</v>
      </c>
      <c r="Z46" s="28" t="str">
        <f t="shared" ref="Z46" si="11">IF(Y46="","",IF(Y46&lt;=20,"EFICIENTE","NO EFICIENTE"))</f>
        <v>EFICIENTE</v>
      </c>
      <c r="AA46" s="27" t="s">
        <v>71</v>
      </c>
      <c r="AB46" s="45" t="s">
        <v>7</v>
      </c>
      <c r="AC46" s="45">
        <v>89.4</v>
      </c>
      <c r="AD46" s="45">
        <v>6</v>
      </c>
      <c r="AE46" s="45">
        <v>24</v>
      </c>
      <c r="AF46" s="27">
        <f>ROUNDUP((F46*1/(AC46*AD46*M46*AE46)),0)</f>
        <v>1</v>
      </c>
      <c r="AG46" s="45">
        <f>13/24</f>
        <v>0.54166666666666663</v>
      </c>
      <c r="AH46" s="40">
        <f>WORKDAY.INTL(P46,AF46,1,0)</f>
        <v>46269</v>
      </c>
      <c r="AI46" s="45"/>
    </row>
    <row r="47" spans="1:35" x14ac:dyDescent="0.3">
      <c r="A47" s="49" t="s">
        <v>95</v>
      </c>
      <c r="B47" s="45" t="s">
        <v>96</v>
      </c>
      <c r="C47" s="45" t="s">
        <v>97</v>
      </c>
      <c r="D47" s="45" t="s">
        <v>65</v>
      </c>
      <c r="E47" s="45" t="s">
        <v>42</v>
      </c>
      <c r="F47" s="45">
        <v>10476</v>
      </c>
      <c r="G47" s="45">
        <v>6102</v>
      </c>
      <c r="H47" s="45"/>
      <c r="I47" s="45"/>
      <c r="J47" s="45"/>
      <c r="K47" s="45"/>
      <c r="L47" s="29">
        <f>+J47/G47</f>
        <v>0</v>
      </c>
      <c r="M47" s="30">
        <v>0.72</v>
      </c>
      <c r="N47" s="48">
        <v>46246</v>
      </c>
      <c r="O47" s="48">
        <v>46247</v>
      </c>
      <c r="P47" s="48">
        <v>46280</v>
      </c>
      <c r="Q47" s="32">
        <v>46278</v>
      </c>
      <c r="R47" s="33">
        <f>IF(Q47="","",NETWORKDAYS(N47,Q47))</f>
        <v>23</v>
      </c>
      <c r="S47" s="34"/>
      <c r="T47" s="35">
        <f>IF(S46="","",NETWORKDAYS(Q46,S46))</f>
        <v>4</v>
      </c>
      <c r="U47" s="36"/>
      <c r="V47" s="37"/>
      <c r="W47" s="38"/>
      <c r="X47" s="39"/>
      <c r="Y47" s="39"/>
      <c r="Z47" s="28"/>
      <c r="AA47" s="27" t="s">
        <v>36</v>
      </c>
      <c r="AB47" s="45" t="s">
        <v>98</v>
      </c>
      <c r="AC47" s="45">
        <v>19.440000000000001</v>
      </c>
      <c r="AD47" s="45">
        <v>6</v>
      </c>
      <c r="AE47" s="45">
        <v>24</v>
      </c>
      <c r="AF47" s="27">
        <f>ROUNDUP((F47*1/(AC47*AD47*M47*AE47)),0)</f>
        <v>6</v>
      </c>
      <c r="AG47" s="45"/>
      <c r="AH47" s="40">
        <f>WORKDAY.INTL(P47,AF47,1,0)</f>
        <v>46288</v>
      </c>
      <c r="AI47" s="45"/>
    </row>
    <row r="48" spans="1:35" x14ac:dyDescent="0.3">
      <c r="A48" s="45" t="s">
        <v>215</v>
      </c>
      <c r="B48" s="45" t="s">
        <v>216</v>
      </c>
      <c r="C48" s="45" t="s">
        <v>217</v>
      </c>
      <c r="D48" s="45" t="s">
        <v>59</v>
      </c>
      <c r="E48" s="45" t="s">
        <v>174</v>
      </c>
      <c r="F48" s="45">
        <v>20000</v>
      </c>
      <c r="G48" s="45">
        <v>13894</v>
      </c>
      <c r="H48" s="45"/>
      <c r="I48" s="45"/>
      <c r="J48" s="45"/>
      <c r="K48" s="45"/>
      <c r="L48" s="29" t="e">
        <f>+J48/#REF!</f>
        <v>#REF!</v>
      </c>
      <c r="M48" s="30"/>
      <c r="N48" s="48">
        <v>46232</v>
      </c>
      <c r="O48" s="48">
        <v>46232</v>
      </c>
      <c r="P48" s="48">
        <v>46267</v>
      </c>
      <c r="Q48" s="32">
        <v>46265</v>
      </c>
      <c r="R48" s="33">
        <f>IF(Q48="","",NETWORKDAYS(N48,Q48))</f>
        <v>24</v>
      </c>
      <c r="S48" s="34">
        <v>46287</v>
      </c>
      <c r="T48" s="35">
        <f>IF(S48="","",NETWORKDAYS(Q48,S48))</f>
        <v>17</v>
      </c>
      <c r="U48" s="36"/>
      <c r="V48" s="37" t="str">
        <f t="shared" si="6"/>
        <v/>
      </c>
      <c r="W48" s="38">
        <v>46293</v>
      </c>
      <c r="X48" s="39"/>
      <c r="Y48" s="39">
        <f t="shared" si="7"/>
        <v>44</v>
      </c>
      <c r="Z48" s="28"/>
      <c r="AA48" s="27" t="s">
        <v>71</v>
      </c>
      <c r="AB48" s="45" t="s">
        <v>7</v>
      </c>
      <c r="AC48" s="45">
        <v>73.8</v>
      </c>
      <c r="AD48" s="45">
        <v>2</v>
      </c>
      <c r="AE48" s="45">
        <v>24</v>
      </c>
      <c r="AF48" s="27" t="e">
        <f>ROUNDUP((#REF!*1/(AC48*AD48*M48*AE48)),0)</f>
        <v>#REF!</v>
      </c>
      <c r="AG48" s="45"/>
      <c r="AH48" s="40" t="e">
        <f t="shared" si="8"/>
        <v>#REF!</v>
      </c>
      <c r="AI48" s="45"/>
    </row>
    <row r="49" spans="1:35" x14ac:dyDescent="0.3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29" t="e">
        <f t="shared" si="3"/>
        <v>#DIV/0!</v>
      </c>
      <c r="M49" s="30"/>
      <c r="N49" s="48"/>
      <c r="O49" s="48"/>
      <c r="P49" s="48"/>
      <c r="Q49" s="32"/>
      <c r="R49" s="33" t="str">
        <f t="shared" si="4"/>
        <v/>
      </c>
      <c r="S49" s="34"/>
      <c r="T49" s="35" t="str">
        <f t="shared" si="5"/>
        <v/>
      </c>
      <c r="U49" s="36"/>
      <c r="V49" s="37" t="str">
        <f t="shared" si="6"/>
        <v/>
      </c>
      <c r="W49" s="38"/>
      <c r="X49" s="39"/>
      <c r="Y49" s="39" t="str">
        <f t="shared" si="7"/>
        <v/>
      </c>
      <c r="Z49" s="28"/>
      <c r="AA49" s="27"/>
      <c r="AB49" s="45"/>
      <c r="AC49" s="45"/>
      <c r="AD49" s="45"/>
      <c r="AE49" s="45"/>
      <c r="AF49" s="27" t="e">
        <f t="shared" si="2"/>
        <v>#DIV/0!</v>
      </c>
      <c r="AG49" s="45"/>
      <c r="AH49" s="40" t="e">
        <f t="shared" si="8"/>
        <v>#DIV/0!</v>
      </c>
      <c r="AI49" s="45"/>
    </row>
    <row r="54" spans="1:35" x14ac:dyDescent="0.3">
      <c r="F54">
        <v>4.5</v>
      </c>
    </row>
    <row r="55" spans="1:35" x14ac:dyDescent="0.3">
      <c r="F55">
        <v>4.5999999999999996</v>
      </c>
    </row>
    <row r="56" spans="1:35" x14ac:dyDescent="0.3">
      <c r="F56">
        <v>4.25</v>
      </c>
    </row>
    <row r="57" spans="1:35" x14ac:dyDescent="0.3">
      <c r="F57">
        <v>4.5999999999999996</v>
      </c>
    </row>
    <row r="58" spans="1:35" x14ac:dyDescent="0.3">
      <c r="F58">
        <v>4.5</v>
      </c>
    </row>
  </sheetData>
  <autoFilter ref="A1:AI49" xr:uid="{17053D90-E25B-47CC-A1ED-22A0FDF05D86}"/>
  <mergeCells count="1">
    <mergeCell ref="A45:AI45"/>
  </mergeCells>
  <conditionalFormatting sqref="AA1">
    <cfRule type="containsText" dxfId="59" priority="97" operator="containsText" text="ACA">
      <formula>NOT(ISERROR(SEARCH("ACA",AA1)))</formula>
    </cfRule>
    <cfRule type="containsText" dxfId="58" priority="98" operator="containsText" text="TER">
      <formula>NOT(ISERROR(SEARCH("TER",AA1)))</formula>
    </cfRule>
    <cfRule type="containsText" dxfId="57" priority="99" operator="containsText" text="MON">
      <formula>NOT(ISERROR(SEARCH("MON",AA1)))</formula>
    </cfRule>
    <cfRule type="containsText" dxfId="56" priority="100" operator="containsText" text="TEJE">
      <formula>NOT(ISERROR(SEARCH("TEJE",AA1)))</formula>
    </cfRule>
    <cfRule type="containsText" dxfId="55" priority="101" operator="containsText" text="CA">
      <formula>NOT(ISERROR(SEARCH("CA",AA1)))</formula>
    </cfRule>
  </conditionalFormatting>
  <conditionalFormatting sqref="M1 M46:M49 M5:M44">
    <cfRule type="cellIs" dxfId="54" priority="94" operator="between">
      <formula>0.69</formula>
      <formula>0</formula>
    </cfRule>
    <cfRule type="cellIs" dxfId="53" priority="95" operator="between">
      <formula>0.79</formula>
      <formula>1</formula>
    </cfRule>
    <cfRule type="cellIs" dxfId="52" priority="96" operator="between">
      <formula>0.69</formula>
      <formula>0.79</formula>
    </cfRule>
  </conditionalFormatting>
  <conditionalFormatting sqref="Z1">
    <cfRule type="containsText" dxfId="51" priority="89" operator="containsText" text="ACA">
      <formula>NOT(ISERROR(SEARCH("ACA",Z1)))</formula>
    </cfRule>
    <cfRule type="containsText" dxfId="50" priority="90" operator="containsText" text="TER">
      <formula>NOT(ISERROR(SEARCH("TER",Z1)))</formula>
    </cfRule>
    <cfRule type="containsText" dxfId="49" priority="91" operator="containsText" text="MON">
      <formula>NOT(ISERROR(SEARCH("MON",Z1)))</formula>
    </cfRule>
    <cfRule type="containsText" dxfId="48" priority="92" operator="containsText" text="TEJE">
      <formula>NOT(ISERROR(SEARCH("TEJE",Z1)))</formula>
    </cfRule>
    <cfRule type="containsText" dxfId="47" priority="93" operator="containsText" text="CA">
      <formula>NOT(ISERROR(SEARCH("CA",Z1)))</formula>
    </cfRule>
  </conditionalFormatting>
  <conditionalFormatting sqref="Z47 Z1:Z44">
    <cfRule type="containsText" dxfId="46" priority="85" operator="containsText" text="NO EFICIENTE">
      <formula>NOT(ISERROR(SEARCH("NO EFICIENTE",Z1)))</formula>
    </cfRule>
    <cfRule type="containsText" dxfId="45" priority="86" operator="containsText" text="EFICIENTE">
      <formula>NOT(ISERROR(SEARCH("EFICIENTE",Z1)))</formula>
    </cfRule>
    <cfRule type="containsText" dxfId="44" priority="87" operator="containsText" text="NO">
      <formula>NOT(ISERROR(SEARCH("NO",Z1)))</formula>
    </cfRule>
    <cfRule type="containsText" dxfId="43" priority="88" operator="containsText" text="EFICIENTE">
      <formula>NOT(ISERROR(SEARCH("EFICIENTE",Z1)))</formula>
    </cfRule>
  </conditionalFormatting>
  <conditionalFormatting sqref="AH2 AH46:AH49 AH4:AH44">
    <cfRule type="cellIs" dxfId="42" priority="61" operator="greaterThan">
      <formula>45658</formula>
    </cfRule>
  </conditionalFormatting>
  <conditionalFormatting sqref="M2">
    <cfRule type="cellIs" dxfId="41" priority="58" operator="between">
      <formula>0.69</formula>
      <formula>0</formula>
    </cfRule>
    <cfRule type="cellIs" dxfId="40" priority="59" operator="between">
      <formula>0.79</formula>
      <formula>1</formula>
    </cfRule>
    <cfRule type="cellIs" dxfId="39" priority="60" operator="between">
      <formula>0.69</formula>
      <formula>0.79</formula>
    </cfRule>
  </conditionalFormatting>
  <conditionalFormatting sqref="Z46 Z49">
    <cfRule type="containsText" dxfId="38" priority="54" operator="containsText" text="NO EFICIENTE">
      <formula>NOT(ISERROR(SEARCH("NO EFICIENTE",Z46)))</formula>
    </cfRule>
    <cfRule type="containsText" dxfId="37" priority="55" operator="containsText" text="EFICIENTE">
      <formula>NOT(ISERROR(SEARCH("EFICIENTE",Z46)))</formula>
    </cfRule>
    <cfRule type="containsText" dxfId="36" priority="56" operator="containsText" text="NO">
      <formula>NOT(ISERROR(SEARCH("NO",Z46)))</formula>
    </cfRule>
    <cfRule type="containsText" dxfId="35" priority="57" operator="containsText" text="EFICIENTE">
      <formula>NOT(ISERROR(SEARCH("EFICIENTE",Z46)))</formula>
    </cfRule>
  </conditionalFormatting>
  <conditionalFormatting sqref="AA2 AA46:AA49 AA8:AA44">
    <cfRule type="containsText" dxfId="34" priority="49" operator="containsText" text="terminado">
      <formula>NOT(ISERROR(SEARCH("terminado",AA2)))</formula>
    </cfRule>
    <cfRule type="containsText" dxfId="33" priority="50" operator="containsText" text="acabados">
      <formula>NOT(ISERROR(SEARCH("acabados",AA2)))</formula>
    </cfRule>
    <cfRule type="containsText" dxfId="32" priority="51" operator="containsText" text="ca">
      <formula>NOT(ISERROR(SEARCH("ca",AA2)))</formula>
    </cfRule>
    <cfRule type="containsText" dxfId="31" priority="52" operator="containsText" text="mon">
      <formula>NOT(ISERROR(SEARCH("mon",AA2)))</formula>
    </cfRule>
    <cfRule type="containsText" dxfId="30" priority="53" operator="containsText" text="teje">
      <formula>NOT(ISERROR(SEARCH("teje",AA2)))</formula>
    </cfRule>
  </conditionalFormatting>
  <conditionalFormatting sqref="AH3">
    <cfRule type="cellIs" dxfId="29" priority="48" operator="greaterThan">
      <formula>45658</formula>
    </cfRule>
  </conditionalFormatting>
  <conditionalFormatting sqref="M3">
    <cfRule type="cellIs" dxfId="28" priority="45" operator="between">
      <formula>0.69</formula>
      <formula>0</formula>
    </cfRule>
    <cfRule type="cellIs" dxfId="27" priority="46" operator="between">
      <formula>0.79</formula>
      <formula>1</formula>
    </cfRule>
    <cfRule type="cellIs" dxfId="26" priority="47" operator="between">
      <formula>0.69</formula>
      <formula>0.79</formula>
    </cfRule>
  </conditionalFormatting>
  <conditionalFormatting sqref="Z46:Z47">
    <cfRule type="containsText" dxfId="25" priority="41" operator="containsText" text="NO EFICIENTE">
      <formula>NOT(ISERROR(SEARCH("NO EFICIENTE",Z46)))</formula>
    </cfRule>
    <cfRule type="containsText" dxfId="24" priority="42" operator="containsText" text="EFICIENTE">
      <formula>NOT(ISERROR(SEARCH("EFICIENTE",Z46)))</formula>
    </cfRule>
    <cfRule type="containsText" dxfId="23" priority="43" operator="containsText" text="NO">
      <formula>NOT(ISERROR(SEARCH("NO",Z46)))</formula>
    </cfRule>
    <cfRule type="containsText" dxfId="22" priority="44" operator="containsText" text="EFICIENTE">
      <formula>NOT(ISERROR(SEARCH("EFICIENTE",Z46)))</formula>
    </cfRule>
  </conditionalFormatting>
  <conditionalFormatting sqref="AA3">
    <cfRule type="containsText" dxfId="21" priority="36" operator="containsText" text="terminado">
      <formula>NOT(ISERROR(SEARCH("terminado",AA3)))</formula>
    </cfRule>
    <cfRule type="containsText" dxfId="20" priority="37" operator="containsText" text="acabados">
      <formula>NOT(ISERROR(SEARCH("acabados",AA3)))</formula>
    </cfRule>
    <cfRule type="containsText" dxfId="19" priority="38" operator="containsText" text="ca">
      <formula>NOT(ISERROR(SEARCH("ca",AA3)))</formula>
    </cfRule>
    <cfRule type="containsText" dxfId="18" priority="39" operator="containsText" text="mon">
      <formula>NOT(ISERROR(SEARCH("mon",AA3)))</formula>
    </cfRule>
    <cfRule type="containsText" dxfId="17" priority="40" operator="containsText" text="teje">
      <formula>NOT(ISERROR(SEARCH("teje",AA3)))</formula>
    </cfRule>
  </conditionalFormatting>
  <conditionalFormatting sqref="M4">
    <cfRule type="cellIs" dxfId="16" priority="32" operator="between">
      <formula>0.69</formula>
      <formula>0</formula>
    </cfRule>
    <cfRule type="cellIs" dxfId="15" priority="33" operator="between">
      <formula>0.79</formula>
      <formula>1</formula>
    </cfRule>
    <cfRule type="cellIs" dxfId="14" priority="34" operator="between">
      <formula>0.69</formula>
      <formula>0.79</formula>
    </cfRule>
  </conditionalFormatting>
  <conditionalFormatting sqref="Z48">
    <cfRule type="containsText" dxfId="13" priority="28" operator="containsText" text="NO EFICIENTE">
      <formula>NOT(ISERROR(SEARCH("NO EFICIENTE",Z48)))</formula>
    </cfRule>
    <cfRule type="containsText" dxfId="12" priority="29" operator="containsText" text="EFICIENTE">
      <formula>NOT(ISERROR(SEARCH("EFICIENTE",Z48)))</formula>
    </cfRule>
    <cfRule type="containsText" dxfId="11" priority="30" operator="containsText" text="NO">
      <formula>NOT(ISERROR(SEARCH("NO",Z48)))</formula>
    </cfRule>
    <cfRule type="containsText" dxfId="10" priority="31" operator="containsText" text="EFICIENTE">
      <formula>NOT(ISERROR(SEARCH("EFICIENTE",Z48)))</formula>
    </cfRule>
  </conditionalFormatting>
  <conditionalFormatting sqref="AA4">
    <cfRule type="containsText" dxfId="9" priority="23" operator="containsText" text="terminado">
      <formula>NOT(ISERROR(SEARCH("terminado",AA4)))</formula>
    </cfRule>
    <cfRule type="containsText" dxfId="8" priority="24" operator="containsText" text="acabados">
      <formula>NOT(ISERROR(SEARCH("acabados",AA4)))</formula>
    </cfRule>
    <cfRule type="containsText" dxfId="7" priority="25" operator="containsText" text="ca">
      <formula>NOT(ISERROR(SEARCH("ca",AA4)))</formula>
    </cfRule>
    <cfRule type="containsText" dxfId="6" priority="26" operator="containsText" text="mon">
      <formula>NOT(ISERROR(SEARCH("mon",AA4)))</formula>
    </cfRule>
    <cfRule type="containsText" dxfId="5" priority="27" operator="containsText" text="teje">
      <formula>NOT(ISERROR(SEARCH("teje",AA4)))</formula>
    </cfRule>
  </conditionalFormatting>
  <conditionalFormatting sqref="AA5:AA7">
    <cfRule type="containsText" dxfId="4" priority="10" operator="containsText" text="terminado">
      <formula>NOT(ISERROR(SEARCH("terminado",AA5)))</formula>
    </cfRule>
    <cfRule type="containsText" dxfId="3" priority="11" operator="containsText" text="acabados">
      <formula>NOT(ISERROR(SEARCH("acabados",AA5)))</formula>
    </cfRule>
    <cfRule type="containsText" dxfId="2" priority="12" operator="containsText" text="ca">
      <formula>NOT(ISERROR(SEARCH("ca",AA5)))</formula>
    </cfRule>
    <cfRule type="containsText" dxfId="1" priority="13" operator="containsText" text="mon">
      <formula>NOT(ISERROR(SEARCH("mon",AA5)))</formula>
    </cfRule>
    <cfRule type="containsText" dxfId="0" priority="14" operator="containsText" text="teje">
      <formula>NOT(ISERROR(SEARCH("teje",AA5)))</formula>
    </cfRule>
  </conditionalFormatting>
  <hyperlinks>
    <hyperlink ref="A2" r:id="rId1" location="'OP57 AGOS '!A1" xr:uid="{FE4D256E-A9B4-4C8F-9CAB-BB85E4786360}"/>
    <hyperlink ref="A3" r:id="rId2" location="'OP54 55 AGOS'!A1" xr:uid="{5AB2E720-4759-41C6-960C-E90658A3ABFD}"/>
    <hyperlink ref="A4" r:id="rId3" location="'OP56 AGOS'!A1" xr:uid="{DEC65477-F3AE-4E03-93B6-D818145B9660}"/>
    <hyperlink ref="A5" r:id="rId4" location="'OP44 AGOS '!A1" xr:uid="{AF459A84-2E85-4713-A46D-5D002208CF36}"/>
    <hyperlink ref="A6" r:id="rId5" location="'OP02 SEP '!A1" xr:uid="{A2A8FB3E-ADB9-4456-A1DE-CC237D5F81FD}"/>
    <hyperlink ref="A46" r:id="rId6" location="'OP39-40 AGOS'!A1" xr:uid="{63599B90-B6DF-4CA8-BF53-E51B8BCE9018}"/>
    <hyperlink ref="A8" r:id="rId7" location="'OP50 AGOS '!A1" xr:uid="{8601B83B-82BF-4076-93E1-97C2D663068C}"/>
    <hyperlink ref="A9" r:id="rId8" location="'OP52 AGOS'!A1" xr:uid="{39B72FF7-C4DE-4767-96D3-F2741998CD77}"/>
    <hyperlink ref="A7" r:id="rId9" location="'OP18 SEP'!A1" xr:uid="{C59F56AF-D382-466F-90E7-1D22408270AC}"/>
    <hyperlink ref="A10" r:id="rId10" location="'OP01 SEP'!A1" xr:uid="{9FC530DD-2165-44DA-BE7A-0D5E3B9434E7}"/>
    <hyperlink ref="A13" r:id="rId11" location="'OP51 AGO'!A1" xr:uid="{051625F7-8D4E-47D9-B976-3760ED43BC68}"/>
    <hyperlink ref="A12" r:id="rId12" location="'OP29 SEP'!A1" xr:uid="{AA33538C-AEE8-408C-AA45-24D7CEDAE0C9}"/>
    <hyperlink ref="A47" r:id="rId13" xr:uid="{76173784-B7F9-4743-BF17-9CD1372BA8B4}"/>
  </hyperlinks>
  <pageMargins left="0.7" right="0.7" top="0.75" bottom="0.75" header="0.3" footer="0.3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DEAD-53C5-48B7-9D73-B72188535652}">
  <dimension ref="A1:K57"/>
  <sheetViews>
    <sheetView topLeftCell="A10" workbookViewId="0">
      <selection activeCell="D35" sqref="D35"/>
    </sheetView>
  </sheetViews>
  <sheetFormatPr baseColWidth="10" defaultRowHeight="14.4" x14ac:dyDescent="0.3"/>
  <cols>
    <col min="1" max="2" width="16" style="57" customWidth="1"/>
  </cols>
  <sheetData>
    <row r="1" spans="1:11" ht="22.95" customHeight="1" x14ac:dyDescent="0.3">
      <c r="A1" s="51" t="s">
        <v>127</v>
      </c>
      <c r="B1" s="51"/>
      <c r="C1" s="51" t="s">
        <v>128</v>
      </c>
      <c r="D1" s="51" t="s">
        <v>129</v>
      </c>
      <c r="E1" s="51" t="s">
        <v>130</v>
      </c>
      <c r="F1" s="51" t="s">
        <v>52</v>
      </c>
      <c r="G1" s="51" t="s">
        <v>131</v>
      </c>
      <c r="H1" s="51" t="s">
        <v>214</v>
      </c>
      <c r="I1" s="51" t="s">
        <v>132</v>
      </c>
      <c r="J1" s="51" t="s">
        <v>66</v>
      </c>
    </row>
    <row r="2" spans="1:11" x14ac:dyDescent="0.3">
      <c r="A2" s="52" t="s">
        <v>125</v>
      </c>
      <c r="B2" s="52"/>
      <c r="C2" s="53">
        <v>6</v>
      </c>
      <c r="D2" s="53"/>
      <c r="E2" s="53"/>
      <c r="F2" s="53"/>
      <c r="G2" s="53"/>
      <c r="H2" s="53"/>
      <c r="I2" s="53"/>
      <c r="J2" s="53"/>
      <c r="K2">
        <f t="shared" ref="K2:K55" si="0">SUM(E2:J2)</f>
        <v>0</v>
      </c>
    </row>
    <row r="3" spans="1:11" x14ac:dyDescent="0.3">
      <c r="A3" s="52" t="s">
        <v>142</v>
      </c>
      <c r="B3" s="52"/>
      <c r="C3" s="53">
        <v>2</v>
      </c>
      <c r="D3" s="53">
        <v>2</v>
      </c>
      <c r="E3" s="53"/>
      <c r="F3" s="53"/>
      <c r="G3" s="53"/>
      <c r="H3" s="53"/>
      <c r="I3" s="53"/>
      <c r="J3" s="53"/>
      <c r="K3">
        <f t="shared" si="0"/>
        <v>0</v>
      </c>
    </row>
    <row r="4" spans="1:11" x14ac:dyDescent="0.3">
      <c r="A4" s="52" t="s">
        <v>147</v>
      </c>
      <c r="B4" s="52"/>
      <c r="C4" s="53">
        <v>3</v>
      </c>
      <c r="D4" s="53"/>
      <c r="E4" s="53"/>
      <c r="F4" s="53">
        <v>3</v>
      </c>
      <c r="G4" s="53"/>
      <c r="H4" s="53"/>
      <c r="I4" s="53"/>
      <c r="J4" s="53"/>
      <c r="K4">
        <f t="shared" si="0"/>
        <v>3</v>
      </c>
    </row>
    <row r="5" spans="1:11" x14ac:dyDescent="0.3">
      <c r="A5" s="52" t="s">
        <v>105</v>
      </c>
      <c r="B5" s="52"/>
      <c r="C5" s="53">
        <v>3</v>
      </c>
      <c r="D5" s="53">
        <v>3</v>
      </c>
      <c r="E5" s="53"/>
      <c r="F5" s="53"/>
      <c r="G5" s="53"/>
      <c r="H5" s="53"/>
      <c r="I5" s="53"/>
      <c r="J5" s="53"/>
      <c r="K5">
        <f t="shared" si="0"/>
        <v>0</v>
      </c>
    </row>
    <row r="6" spans="1:11" x14ac:dyDescent="0.3">
      <c r="A6" s="52" t="s">
        <v>152</v>
      </c>
      <c r="B6" s="52"/>
      <c r="C6" s="53"/>
      <c r="D6" s="53">
        <v>4</v>
      </c>
      <c r="E6" s="53"/>
      <c r="F6" s="53"/>
      <c r="G6" s="53"/>
      <c r="H6" s="53"/>
      <c r="I6" s="53"/>
      <c r="J6" s="53"/>
      <c r="K6">
        <f t="shared" si="0"/>
        <v>0</v>
      </c>
    </row>
    <row r="7" spans="1:11" x14ac:dyDescent="0.3">
      <c r="A7" s="54" t="s">
        <v>156</v>
      </c>
      <c r="B7" s="54"/>
      <c r="C7" s="53"/>
      <c r="D7" s="53"/>
      <c r="E7" s="53"/>
      <c r="F7" s="53">
        <v>8</v>
      </c>
      <c r="G7" s="53"/>
      <c r="H7" s="53"/>
      <c r="I7" s="53"/>
      <c r="J7" s="53"/>
      <c r="K7">
        <f t="shared" si="0"/>
        <v>8</v>
      </c>
    </row>
    <row r="8" spans="1:11" x14ac:dyDescent="0.3">
      <c r="A8" s="52" t="s">
        <v>119</v>
      </c>
      <c r="B8" s="52"/>
      <c r="C8" s="53"/>
      <c r="D8" s="53"/>
      <c r="E8" s="53"/>
      <c r="F8" s="53">
        <v>4</v>
      </c>
      <c r="G8" s="53"/>
      <c r="H8" s="53"/>
      <c r="I8" s="53"/>
      <c r="J8" s="53">
        <v>4</v>
      </c>
      <c r="K8">
        <f t="shared" si="0"/>
        <v>8</v>
      </c>
    </row>
    <row r="9" spans="1:11" x14ac:dyDescent="0.3">
      <c r="A9" s="54" t="s">
        <v>158</v>
      </c>
      <c r="B9" s="54"/>
      <c r="C9" s="53">
        <v>1</v>
      </c>
      <c r="D9" s="53"/>
      <c r="E9" s="53"/>
      <c r="F9" s="53">
        <v>1</v>
      </c>
      <c r="G9" s="53"/>
      <c r="H9" s="53"/>
      <c r="I9" s="53"/>
      <c r="J9" s="53"/>
      <c r="K9">
        <f t="shared" si="0"/>
        <v>1</v>
      </c>
    </row>
    <row r="10" spans="1:11" x14ac:dyDescent="0.3">
      <c r="A10" s="54" t="s">
        <v>123</v>
      </c>
      <c r="B10" s="54"/>
      <c r="C10" s="53"/>
      <c r="D10" s="53"/>
      <c r="E10" s="53"/>
      <c r="F10" s="53">
        <v>12</v>
      </c>
      <c r="G10" s="53"/>
      <c r="H10" s="53"/>
      <c r="I10" s="53"/>
      <c r="J10" s="53"/>
      <c r="K10">
        <f t="shared" si="0"/>
        <v>12</v>
      </c>
    </row>
    <row r="11" spans="1:11" x14ac:dyDescent="0.3">
      <c r="A11" s="54" t="s">
        <v>162</v>
      </c>
      <c r="B11" s="54"/>
      <c r="C11" s="53"/>
      <c r="D11" s="53">
        <v>6</v>
      </c>
      <c r="E11" s="53"/>
      <c r="F11" s="53"/>
      <c r="G11" s="53"/>
      <c r="H11" s="53"/>
      <c r="I11" s="53"/>
      <c r="J11" s="53"/>
      <c r="K11">
        <f t="shared" si="0"/>
        <v>0</v>
      </c>
    </row>
    <row r="12" spans="1:11" x14ac:dyDescent="0.3">
      <c r="A12" s="52" t="s">
        <v>166</v>
      </c>
      <c r="B12" s="52"/>
      <c r="C12" s="53">
        <v>3</v>
      </c>
      <c r="D12" s="53">
        <v>3</v>
      </c>
      <c r="E12" s="53"/>
      <c r="F12" s="53"/>
      <c r="G12" s="53"/>
      <c r="H12" s="53"/>
      <c r="I12" s="53"/>
      <c r="J12" s="53"/>
      <c r="K12">
        <f t="shared" si="0"/>
        <v>0</v>
      </c>
    </row>
    <row r="13" spans="1:11" x14ac:dyDescent="0.3">
      <c r="A13" s="54" t="s">
        <v>177</v>
      </c>
      <c r="B13" s="54"/>
      <c r="C13" s="53">
        <v>3</v>
      </c>
      <c r="D13" s="53">
        <v>3</v>
      </c>
      <c r="E13" s="53"/>
      <c r="F13" s="53"/>
      <c r="G13" s="53"/>
      <c r="H13" s="53"/>
      <c r="I13" s="53"/>
      <c r="J13" s="53"/>
      <c r="K13">
        <f t="shared" si="0"/>
        <v>0</v>
      </c>
    </row>
    <row r="14" spans="1:11" x14ac:dyDescent="0.3">
      <c r="A14" s="68"/>
      <c r="B14" s="68"/>
      <c r="C14" s="69"/>
      <c r="D14" s="69"/>
      <c r="E14" s="69"/>
      <c r="F14" s="69"/>
      <c r="G14" s="69"/>
      <c r="H14" s="69"/>
      <c r="I14" s="69"/>
      <c r="J14" s="69"/>
      <c r="K14">
        <f t="shared" si="0"/>
        <v>0</v>
      </c>
    </row>
    <row r="15" spans="1:11" x14ac:dyDescent="0.3">
      <c r="A15" s="52" t="s">
        <v>178</v>
      </c>
      <c r="B15" s="52"/>
      <c r="C15" s="53">
        <v>3</v>
      </c>
      <c r="D15" s="53">
        <v>3</v>
      </c>
      <c r="E15" s="53"/>
      <c r="F15" s="53">
        <v>6</v>
      </c>
      <c r="G15" s="53"/>
      <c r="H15" s="53"/>
      <c r="I15" s="53"/>
      <c r="J15" s="53"/>
      <c r="K15">
        <f t="shared" si="0"/>
        <v>6</v>
      </c>
    </row>
    <row r="16" spans="1:11" x14ac:dyDescent="0.3">
      <c r="A16" s="52" t="s">
        <v>183</v>
      </c>
      <c r="B16" s="52"/>
      <c r="C16" s="53">
        <v>4</v>
      </c>
      <c r="D16" s="53"/>
      <c r="E16" s="53"/>
      <c r="F16" s="53"/>
      <c r="G16" s="53"/>
      <c r="H16" s="53"/>
      <c r="I16" s="53"/>
      <c r="J16" s="53"/>
      <c r="K16">
        <f t="shared" si="0"/>
        <v>0</v>
      </c>
    </row>
    <row r="17" spans="1:11" x14ac:dyDescent="0.3">
      <c r="A17" s="52" t="s">
        <v>193</v>
      </c>
      <c r="B17" s="52"/>
      <c r="C17" s="53">
        <v>6</v>
      </c>
      <c r="D17" s="53"/>
      <c r="E17" s="53"/>
      <c r="F17" s="53"/>
      <c r="G17" s="53"/>
      <c r="H17" s="53"/>
      <c r="I17" s="53">
        <v>3</v>
      </c>
      <c r="J17" s="53"/>
      <c r="K17">
        <f t="shared" si="0"/>
        <v>3</v>
      </c>
    </row>
    <row r="18" spans="1:11" x14ac:dyDescent="0.3">
      <c r="A18" s="52" t="s">
        <v>197</v>
      </c>
      <c r="B18" s="52"/>
      <c r="C18" s="53">
        <v>5</v>
      </c>
      <c r="D18" s="53"/>
      <c r="E18" s="53"/>
      <c r="F18" s="53"/>
      <c r="G18" s="53"/>
      <c r="H18" s="53"/>
      <c r="I18" s="53"/>
      <c r="J18" s="53"/>
      <c r="K18">
        <f t="shared" si="0"/>
        <v>0</v>
      </c>
    </row>
    <row r="19" spans="1:11" x14ac:dyDescent="0.3">
      <c r="A19" s="54" t="s">
        <v>198</v>
      </c>
      <c r="B19" s="54"/>
      <c r="C19" s="53"/>
      <c r="D19" s="53">
        <v>3</v>
      </c>
      <c r="E19" s="53"/>
      <c r="F19" s="53">
        <v>3</v>
      </c>
      <c r="G19" s="53"/>
      <c r="H19" s="53"/>
      <c r="I19" s="53"/>
      <c r="J19" s="53"/>
      <c r="K19">
        <f t="shared" si="0"/>
        <v>3</v>
      </c>
    </row>
    <row r="20" spans="1:11" x14ac:dyDescent="0.3">
      <c r="A20" s="52" t="s">
        <v>91</v>
      </c>
      <c r="B20" s="52"/>
      <c r="C20" s="53">
        <v>3</v>
      </c>
      <c r="D20" s="53">
        <v>3</v>
      </c>
      <c r="E20" s="53"/>
      <c r="F20" s="53">
        <v>0.5</v>
      </c>
      <c r="G20" s="53"/>
      <c r="H20" s="53"/>
      <c r="I20" s="53"/>
      <c r="J20" s="53"/>
      <c r="K20">
        <f>SUM(E20:J20)</f>
        <v>0.5</v>
      </c>
    </row>
    <row r="21" spans="1:11" x14ac:dyDescent="0.3">
      <c r="A21" s="52" t="s">
        <v>86</v>
      </c>
      <c r="B21" s="52"/>
      <c r="C21" s="53">
        <v>2</v>
      </c>
      <c r="D21" s="53">
        <v>2</v>
      </c>
      <c r="E21" s="53"/>
      <c r="F21" s="53"/>
      <c r="G21" s="53"/>
      <c r="H21" s="53"/>
      <c r="I21" s="53"/>
      <c r="J21" s="53"/>
      <c r="K21">
        <f t="shared" si="0"/>
        <v>0</v>
      </c>
    </row>
    <row r="22" spans="1:11" x14ac:dyDescent="0.3">
      <c r="A22" s="52" t="s">
        <v>201</v>
      </c>
      <c r="B22" s="52"/>
      <c r="C22" s="53">
        <v>6</v>
      </c>
      <c r="D22" s="53"/>
      <c r="E22" s="53"/>
      <c r="F22" s="53"/>
      <c r="G22" s="53"/>
      <c r="H22" s="53"/>
      <c r="I22" s="53"/>
      <c r="J22" s="53"/>
      <c r="K22">
        <f t="shared" si="0"/>
        <v>0</v>
      </c>
    </row>
    <row r="23" spans="1:11" x14ac:dyDescent="0.3">
      <c r="A23" s="52" t="s">
        <v>204</v>
      </c>
      <c r="B23" s="52"/>
      <c r="C23" s="53">
        <v>2</v>
      </c>
      <c r="D23" s="53"/>
      <c r="E23" s="53"/>
      <c r="F23" s="53"/>
      <c r="G23" s="53"/>
      <c r="H23" s="53"/>
      <c r="I23" s="53"/>
      <c r="J23" s="53"/>
      <c r="K23">
        <f t="shared" si="0"/>
        <v>0</v>
      </c>
    </row>
    <row r="24" spans="1:11" x14ac:dyDescent="0.3">
      <c r="A24" s="52" t="s">
        <v>209</v>
      </c>
      <c r="B24" s="52"/>
      <c r="C24" s="53"/>
      <c r="D24" s="53"/>
      <c r="E24" s="53"/>
      <c r="F24" s="53">
        <v>2</v>
      </c>
      <c r="G24" s="53"/>
      <c r="H24" s="53"/>
      <c r="I24" s="53"/>
      <c r="J24" s="53"/>
      <c r="K24">
        <f t="shared" si="0"/>
        <v>2</v>
      </c>
    </row>
    <row r="25" spans="1:11" x14ac:dyDescent="0.3">
      <c r="A25" s="55" t="s">
        <v>111</v>
      </c>
      <c r="B25" s="55"/>
      <c r="C25" s="53">
        <v>6</v>
      </c>
      <c r="D25" s="53"/>
      <c r="E25" s="53"/>
      <c r="F25" s="53"/>
      <c r="G25" s="53"/>
      <c r="H25" s="53"/>
      <c r="I25" s="53"/>
      <c r="J25" s="53"/>
      <c r="K25">
        <f t="shared" si="0"/>
        <v>0</v>
      </c>
    </row>
    <row r="26" spans="1:11" x14ac:dyDescent="0.3">
      <c r="A26" s="52" t="s">
        <v>211</v>
      </c>
      <c r="B26" s="52"/>
      <c r="C26" s="53"/>
      <c r="D26" s="53">
        <v>4</v>
      </c>
      <c r="E26" s="53"/>
      <c r="F26" s="53"/>
      <c r="G26" s="53"/>
      <c r="H26" s="53">
        <v>2</v>
      </c>
      <c r="I26" s="53"/>
      <c r="J26" s="53"/>
      <c r="K26">
        <f t="shared" si="0"/>
        <v>2</v>
      </c>
    </row>
    <row r="27" spans="1:11" x14ac:dyDescent="0.3">
      <c r="A27" s="52" t="s">
        <v>215</v>
      </c>
      <c r="B27" s="52"/>
      <c r="C27" s="53"/>
      <c r="D27" s="53"/>
      <c r="E27" s="53"/>
      <c r="F27" s="53">
        <v>1</v>
      </c>
      <c r="G27" s="53"/>
      <c r="H27" s="53"/>
      <c r="I27" s="53"/>
      <c r="J27" s="53"/>
      <c r="K27">
        <f t="shared" si="0"/>
        <v>1</v>
      </c>
    </row>
    <row r="28" spans="1:11" x14ac:dyDescent="0.3">
      <c r="A28" s="52" t="s">
        <v>72</v>
      </c>
      <c r="B28" s="52"/>
      <c r="C28" s="56">
        <v>1</v>
      </c>
      <c r="D28" s="53"/>
      <c r="E28" s="53"/>
      <c r="F28" s="56">
        <v>1</v>
      </c>
      <c r="G28" s="53"/>
      <c r="H28" s="53"/>
      <c r="I28" s="53"/>
      <c r="J28" s="53"/>
      <c r="K28">
        <f t="shared" si="0"/>
        <v>1</v>
      </c>
    </row>
    <row r="29" spans="1:11" x14ac:dyDescent="0.3">
      <c r="A29" s="52" t="s">
        <v>221</v>
      </c>
      <c r="B29" s="52"/>
      <c r="C29" s="53">
        <v>1.5</v>
      </c>
      <c r="D29" s="53"/>
      <c r="E29" s="53"/>
      <c r="F29" s="53">
        <v>0.5</v>
      </c>
      <c r="G29" s="53"/>
      <c r="H29" s="53">
        <v>1</v>
      </c>
      <c r="I29" s="53"/>
      <c r="J29" s="53"/>
      <c r="K29">
        <f t="shared" si="0"/>
        <v>1.5</v>
      </c>
    </row>
    <row r="30" spans="1:11" x14ac:dyDescent="0.3">
      <c r="A30" s="52" t="s">
        <v>219</v>
      </c>
      <c r="B30" s="52"/>
      <c r="C30" s="53">
        <v>1</v>
      </c>
      <c r="D30" s="53">
        <v>2</v>
      </c>
      <c r="E30" s="53"/>
      <c r="F30" s="53"/>
      <c r="G30" s="53"/>
      <c r="H30" s="53"/>
      <c r="I30" s="53"/>
      <c r="J30" s="53"/>
      <c r="K30">
        <f t="shared" si="0"/>
        <v>0</v>
      </c>
    </row>
    <row r="31" spans="1:11" x14ac:dyDescent="0.3">
      <c r="A31" s="52" t="s">
        <v>81</v>
      </c>
      <c r="B31" s="52"/>
      <c r="C31" s="53">
        <v>2</v>
      </c>
      <c r="D31" s="53">
        <v>2</v>
      </c>
      <c r="E31" s="53"/>
      <c r="F31" s="53"/>
      <c r="G31" s="53"/>
      <c r="H31" s="53"/>
      <c r="I31" s="53"/>
      <c r="J31" s="53"/>
      <c r="K31">
        <f t="shared" si="0"/>
        <v>0</v>
      </c>
    </row>
    <row r="32" spans="1:11" x14ac:dyDescent="0.3">
      <c r="A32" s="52" t="s">
        <v>226</v>
      </c>
      <c r="B32" s="52"/>
      <c r="C32" s="56">
        <v>0.5</v>
      </c>
      <c r="D32" s="56">
        <v>1.5</v>
      </c>
      <c r="E32" s="53"/>
      <c r="F32" s="53">
        <v>2</v>
      </c>
      <c r="G32" s="53"/>
      <c r="H32" s="53"/>
      <c r="I32" s="53"/>
      <c r="J32" s="53"/>
      <c r="K32">
        <f t="shared" si="0"/>
        <v>2</v>
      </c>
    </row>
    <row r="33" spans="1:11" x14ac:dyDescent="0.3">
      <c r="A33" s="52" t="s">
        <v>109</v>
      </c>
      <c r="B33" s="52"/>
      <c r="C33" s="53"/>
      <c r="D33" s="53">
        <v>2</v>
      </c>
      <c r="E33" s="53"/>
      <c r="F33" s="53"/>
      <c r="G33" s="53"/>
      <c r="H33" s="53"/>
      <c r="I33" s="53"/>
      <c r="J33" s="53"/>
      <c r="K33">
        <f t="shared" si="0"/>
        <v>0</v>
      </c>
    </row>
    <row r="34" spans="1:11" x14ac:dyDescent="0.3">
      <c r="A34" s="52" t="s">
        <v>115</v>
      </c>
      <c r="B34" s="52"/>
      <c r="C34" s="53">
        <v>1.5</v>
      </c>
      <c r="D34" s="53">
        <v>2.5</v>
      </c>
      <c r="E34" s="53"/>
      <c r="F34" s="53"/>
      <c r="G34" s="53"/>
      <c r="H34" s="53"/>
      <c r="I34" s="53"/>
      <c r="J34" s="53"/>
      <c r="K34">
        <f t="shared" si="0"/>
        <v>0</v>
      </c>
    </row>
    <row r="35" spans="1:11" x14ac:dyDescent="0.3">
      <c r="A35" s="52"/>
      <c r="B35" s="52"/>
      <c r="C35" s="53"/>
      <c r="D35" s="53"/>
      <c r="E35" s="53"/>
      <c r="F35" s="53"/>
      <c r="G35" s="53"/>
      <c r="H35" s="53"/>
      <c r="I35" s="53"/>
      <c r="J35" s="53"/>
      <c r="K35">
        <f t="shared" si="0"/>
        <v>0</v>
      </c>
    </row>
    <row r="36" spans="1:11" x14ac:dyDescent="0.3">
      <c r="A36" s="52"/>
      <c r="B36" s="52"/>
      <c r="C36" s="53"/>
      <c r="D36" s="53"/>
      <c r="E36" s="53"/>
      <c r="F36" s="53"/>
      <c r="G36" s="53"/>
      <c r="H36" s="53"/>
      <c r="I36" s="53"/>
      <c r="J36" s="53"/>
      <c r="K36">
        <f t="shared" si="0"/>
        <v>0</v>
      </c>
    </row>
    <row r="37" spans="1:11" x14ac:dyDescent="0.3">
      <c r="A37" s="52"/>
      <c r="B37" s="52"/>
      <c r="C37" s="53"/>
      <c r="D37" s="53"/>
      <c r="E37" s="53"/>
      <c r="F37" s="53"/>
      <c r="G37" s="53"/>
      <c r="H37" s="53"/>
      <c r="I37" s="53"/>
      <c r="J37" s="53"/>
      <c r="K37">
        <f t="shared" si="0"/>
        <v>0</v>
      </c>
    </row>
    <row r="38" spans="1:11" x14ac:dyDescent="0.3">
      <c r="A38" s="52"/>
      <c r="B38" s="52"/>
      <c r="C38" s="53"/>
      <c r="D38" s="53"/>
      <c r="E38" s="56"/>
      <c r="F38" s="53"/>
      <c r="G38" s="56"/>
      <c r="H38" s="53"/>
      <c r="I38" s="53"/>
      <c r="J38" s="53"/>
      <c r="K38">
        <f t="shared" si="0"/>
        <v>0</v>
      </c>
    </row>
    <row r="39" spans="1:11" x14ac:dyDescent="0.3">
      <c r="A39" s="52"/>
      <c r="B39" s="52"/>
      <c r="C39" s="53"/>
      <c r="D39" s="53"/>
      <c r="E39" s="53"/>
      <c r="F39" s="56"/>
      <c r="G39" s="56"/>
      <c r="H39" s="53"/>
      <c r="I39" s="53"/>
      <c r="J39" s="53"/>
      <c r="K39">
        <f t="shared" si="0"/>
        <v>0</v>
      </c>
    </row>
    <row r="40" spans="1:11" x14ac:dyDescent="0.3">
      <c r="A40" s="54"/>
      <c r="B40" s="54"/>
      <c r="C40" s="53"/>
      <c r="D40" s="53"/>
      <c r="E40" s="53"/>
      <c r="F40" s="53"/>
      <c r="G40" s="53"/>
      <c r="H40" s="53"/>
      <c r="I40" s="53"/>
      <c r="J40" s="53"/>
      <c r="K40">
        <f t="shared" si="0"/>
        <v>0</v>
      </c>
    </row>
    <row r="41" spans="1:11" x14ac:dyDescent="0.3">
      <c r="A41" s="52"/>
      <c r="B41" s="52"/>
      <c r="C41" s="53"/>
      <c r="D41" s="53"/>
      <c r="E41" s="53"/>
      <c r="F41" s="53"/>
      <c r="G41" s="53"/>
      <c r="H41" s="53"/>
      <c r="I41" s="53"/>
      <c r="J41" s="53"/>
      <c r="K41">
        <f t="shared" si="0"/>
        <v>0</v>
      </c>
    </row>
    <row r="42" spans="1:11" x14ac:dyDescent="0.3">
      <c r="A42" s="54"/>
      <c r="B42" s="54"/>
      <c r="C42" s="56"/>
      <c r="D42" s="53"/>
      <c r="E42" s="53"/>
      <c r="F42" s="56"/>
      <c r="G42" s="53"/>
      <c r="H42" s="53"/>
      <c r="I42" s="53"/>
      <c r="J42" s="53"/>
      <c r="K42">
        <f t="shared" si="0"/>
        <v>0</v>
      </c>
    </row>
    <row r="43" spans="1:11" x14ac:dyDescent="0.3">
      <c r="A43" s="52"/>
      <c r="B43" s="52"/>
      <c r="C43" s="53"/>
      <c r="D43" s="53"/>
      <c r="E43" s="53"/>
      <c r="F43" s="53"/>
      <c r="G43" s="53"/>
      <c r="H43" s="53"/>
      <c r="I43" s="53"/>
      <c r="J43" s="53"/>
      <c r="K43">
        <f t="shared" si="0"/>
        <v>0</v>
      </c>
    </row>
    <row r="44" spans="1:11" x14ac:dyDescent="0.3">
      <c r="A44" s="52"/>
      <c r="B44" s="52"/>
      <c r="C44" s="53"/>
      <c r="D44" s="53"/>
      <c r="E44" s="53"/>
      <c r="F44" s="53"/>
      <c r="G44" s="53"/>
      <c r="H44" s="53"/>
      <c r="I44" s="53"/>
      <c r="J44" s="53"/>
      <c r="K44">
        <f t="shared" si="0"/>
        <v>0</v>
      </c>
    </row>
    <row r="45" spans="1:11" x14ac:dyDescent="0.3">
      <c r="A45" s="52"/>
      <c r="B45" s="52"/>
      <c r="C45" s="53"/>
      <c r="D45" s="53"/>
      <c r="E45" s="53"/>
      <c r="F45" s="53"/>
      <c r="G45" s="53"/>
      <c r="H45" s="53"/>
      <c r="I45" s="53"/>
      <c r="J45" s="53"/>
      <c r="K45">
        <f t="shared" si="0"/>
        <v>0</v>
      </c>
    </row>
    <row r="46" spans="1:11" x14ac:dyDescent="0.3">
      <c r="A46" s="54"/>
      <c r="B46" s="54"/>
      <c r="C46" s="53"/>
      <c r="D46" s="56"/>
      <c r="E46" s="53"/>
      <c r="F46" s="53"/>
      <c r="G46" s="56"/>
      <c r="H46" s="53"/>
      <c r="I46" s="53"/>
      <c r="J46" s="53"/>
      <c r="K46">
        <f t="shared" si="0"/>
        <v>0</v>
      </c>
    </row>
    <row r="47" spans="1:11" x14ac:dyDescent="0.3">
      <c r="A47" s="54"/>
      <c r="B47" s="54"/>
      <c r="C47" s="53"/>
      <c r="D47" s="53"/>
      <c r="E47" s="53"/>
      <c r="F47" s="53"/>
      <c r="G47" s="53"/>
      <c r="H47" s="53"/>
      <c r="I47" s="53"/>
      <c r="J47" s="53"/>
      <c r="K47">
        <f t="shared" si="0"/>
        <v>0</v>
      </c>
    </row>
    <row r="48" spans="1:11" x14ac:dyDescent="0.3">
      <c r="A48" s="52"/>
      <c r="B48" s="52"/>
      <c r="C48" s="53"/>
      <c r="D48" s="53"/>
      <c r="E48" s="53"/>
      <c r="F48" s="53"/>
      <c r="G48" s="53"/>
      <c r="H48" s="53"/>
      <c r="I48" s="53"/>
      <c r="J48" s="53"/>
      <c r="K48">
        <f t="shared" si="0"/>
        <v>0</v>
      </c>
    </row>
    <row r="49" spans="1:11" x14ac:dyDescent="0.3">
      <c r="A49" s="52"/>
      <c r="B49" s="52"/>
      <c r="C49" s="53"/>
      <c r="D49" s="53"/>
      <c r="E49" s="53"/>
      <c r="F49" s="53"/>
      <c r="G49" s="53"/>
      <c r="H49" s="53"/>
      <c r="I49" s="53"/>
      <c r="J49" s="53"/>
      <c r="K49">
        <f t="shared" si="0"/>
        <v>0</v>
      </c>
    </row>
    <row r="50" spans="1:11" x14ac:dyDescent="0.3">
      <c r="A50" s="54"/>
      <c r="B50" s="54"/>
      <c r="C50" s="53"/>
      <c r="D50" s="53"/>
      <c r="E50" s="53"/>
      <c r="F50" s="53"/>
      <c r="G50" s="53"/>
      <c r="H50" s="53"/>
      <c r="I50" s="53"/>
      <c r="J50" s="53"/>
      <c r="K50">
        <f t="shared" si="0"/>
        <v>0</v>
      </c>
    </row>
    <row r="51" spans="1:11" x14ac:dyDescent="0.3">
      <c r="A51" s="52"/>
      <c r="B51" s="52"/>
      <c r="C51" s="53"/>
      <c r="D51" s="53"/>
      <c r="E51" s="53"/>
      <c r="F51" s="53"/>
      <c r="G51" s="53"/>
      <c r="H51" s="53"/>
      <c r="I51" s="53"/>
      <c r="J51" s="53"/>
      <c r="K51">
        <f t="shared" si="0"/>
        <v>0</v>
      </c>
    </row>
    <row r="52" spans="1:11" x14ac:dyDescent="0.3">
      <c r="A52" s="52"/>
      <c r="B52" s="52"/>
      <c r="C52" s="53"/>
      <c r="D52" s="53"/>
      <c r="E52" s="53"/>
      <c r="F52" s="53"/>
      <c r="G52" s="53"/>
      <c r="H52" s="53"/>
      <c r="I52" s="53"/>
      <c r="J52" s="53"/>
      <c r="K52">
        <f t="shared" si="0"/>
        <v>0</v>
      </c>
    </row>
    <row r="53" spans="1:11" x14ac:dyDescent="0.3">
      <c r="A53" s="52"/>
      <c r="B53" s="52"/>
      <c r="C53" s="53"/>
      <c r="D53" s="53"/>
      <c r="E53" s="53"/>
      <c r="F53" s="53"/>
      <c r="G53" s="53"/>
      <c r="H53" s="53"/>
      <c r="I53" s="53"/>
      <c r="J53" s="53"/>
      <c r="K53">
        <f t="shared" si="0"/>
        <v>0</v>
      </c>
    </row>
    <row r="54" spans="1:11" x14ac:dyDescent="0.3">
      <c r="A54" s="52"/>
      <c r="B54" s="52"/>
      <c r="C54" s="53"/>
      <c r="D54" s="53"/>
      <c r="E54" s="53"/>
      <c r="F54" s="53"/>
      <c r="G54" s="53"/>
      <c r="H54" s="53"/>
      <c r="I54" s="53"/>
      <c r="J54" s="53"/>
      <c r="K54">
        <f t="shared" si="0"/>
        <v>0</v>
      </c>
    </row>
    <row r="55" spans="1:11" x14ac:dyDescent="0.3">
      <c r="A55" s="52"/>
      <c r="B55" s="52"/>
      <c r="C55" s="53"/>
      <c r="D55" s="53"/>
      <c r="E55" s="53"/>
      <c r="F55" s="53"/>
      <c r="G55" s="53"/>
      <c r="H55" s="53"/>
      <c r="I55" s="53"/>
      <c r="J55" s="53"/>
      <c r="K55">
        <f t="shared" si="0"/>
        <v>0</v>
      </c>
    </row>
    <row r="57" spans="1:11" x14ac:dyDescent="0.3">
      <c r="C57">
        <f t="shared" ref="C57:K57" si="1">SUM(C2:C56)</f>
        <v>65.5</v>
      </c>
      <c r="D57">
        <f>SUM(D2:D56)</f>
        <v>46</v>
      </c>
      <c r="E57">
        <f t="shared" si="1"/>
        <v>0</v>
      </c>
      <c r="F57">
        <f t="shared" si="1"/>
        <v>44</v>
      </c>
      <c r="G57">
        <f t="shared" si="1"/>
        <v>0</v>
      </c>
      <c r="H57">
        <f t="shared" si="1"/>
        <v>3</v>
      </c>
      <c r="I57">
        <f t="shared" si="1"/>
        <v>3</v>
      </c>
      <c r="J57">
        <f t="shared" si="1"/>
        <v>4</v>
      </c>
      <c r="K57" s="58">
        <f t="shared" si="1"/>
        <v>54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C5EE-AB24-44B1-9060-6E9F15488C0E}">
  <dimension ref="A1:E10"/>
  <sheetViews>
    <sheetView workbookViewId="0">
      <selection activeCell="D5" sqref="D5"/>
    </sheetView>
  </sheetViews>
  <sheetFormatPr baseColWidth="10" defaultRowHeight="14.4" x14ac:dyDescent="0.3"/>
  <cols>
    <col min="3" max="3" width="11.88671875" bestFit="1" customWidth="1"/>
    <col min="4" max="4" width="34.88671875" customWidth="1"/>
    <col min="5" max="5" width="19.6640625" customWidth="1"/>
  </cols>
  <sheetData>
    <row r="1" spans="1:5" x14ac:dyDescent="0.3">
      <c r="A1" s="59" t="s">
        <v>133</v>
      </c>
      <c r="B1" s="60"/>
      <c r="C1" s="60"/>
      <c r="D1" s="60"/>
      <c r="E1" s="61"/>
    </row>
    <row r="2" spans="1:5" ht="28.8" x14ac:dyDescent="0.3">
      <c r="A2" s="62" t="s">
        <v>134</v>
      </c>
      <c r="B2" s="62" t="s">
        <v>135</v>
      </c>
      <c r="C2" s="62" t="s">
        <v>136</v>
      </c>
      <c r="D2" s="62" t="s">
        <v>137</v>
      </c>
      <c r="E2" s="62" t="s">
        <v>138</v>
      </c>
    </row>
    <row r="3" spans="1:5" x14ac:dyDescent="0.3">
      <c r="A3" s="63">
        <v>1</v>
      </c>
      <c r="B3" s="45" t="s">
        <v>139</v>
      </c>
      <c r="C3" s="50">
        <v>6</v>
      </c>
      <c r="D3" s="45" t="s">
        <v>186</v>
      </c>
      <c r="E3" s="45"/>
    </row>
    <row r="4" spans="1:5" x14ac:dyDescent="0.3">
      <c r="A4" s="63">
        <v>2</v>
      </c>
      <c r="B4" s="45" t="s">
        <v>42</v>
      </c>
      <c r="C4" s="50">
        <v>9</v>
      </c>
      <c r="D4" s="45" t="s">
        <v>229</v>
      </c>
      <c r="E4" s="45"/>
    </row>
    <row r="5" spans="1:5" x14ac:dyDescent="0.3">
      <c r="A5" s="63">
        <v>3</v>
      </c>
      <c r="B5" s="45" t="s">
        <v>66</v>
      </c>
      <c r="C5" s="50">
        <v>5</v>
      </c>
      <c r="D5" s="45" t="s">
        <v>228</v>
      </c>
      <c r="E5" s="45"/>
    </row>
    <row r="6" spans="1:5" x14ac:dyDescent="0.3">
      <c r="A6" s="63">
        <v>4</v>
      </c>
      <c r="B6" s="45" t="s">
        <v>132</v>
      </c>
      <c r="C6" s="50">
        <v>6</v>
      </c>
      <c r="D6" s="45" t="s">
        <v>223</v>
      </c>
      <c r="E6" s="45"/>
    </row>
    <row r="7" spans="1:5" x14ac:dyDescent="0.3">
      <c r="A7" s="63">
        <v>5</v>
      </c>
      <c r="B7" s="45" t="s">
        <v>32</v>
      </c>
      <c r="C7" s="50"/>
      <c r="D7" s="45"/>
      <c r="E7" s="45"/>
    </row>
    <row r="8" spans="1:5" x14ac:dyDescent="0.3">
      <c r="A8" s="63">
        <v>6</v>
      </c>
      <c r="B8" s="45" t="s">
        <v>207</v>
      </c>
      <c r="C8" s="50">
        <v>2</v>
      </c>
      <c r="D8" s="45" t="s">
        <v>145</v>
      </c>
      <c r="E8" s="45"/>
    </row>
    <row r="9" spans="1:5" x14ac:dyDescent="0.3">
      <c r="A9" s="63">
        <v>7</v>
      </c>
      <c r="B9" s="45" t="s">
        <v>52</v>
      </c>
      <c r="C9" s="50">
        <v>8</v>
      </c>
      <c r="D9" s="45" t="s">
        <v>224</v>
      </c>
      <c r="E9" s="45"/>
    </row>
    <row r="10" spans="1:5" x14ac:dyDescent="0.3">
      <c r="A10" s="67" t="s">
        <v>140</v>
      </c>
      <c r="B10" s="67"/>
      <c r="C10" s="53">
        <f>SUM(C3:C9)</f>
        <v>36</v>
      </c>
    </row>
  </sheetData>
  <mergeCells count="1">
    <mergeCell ref="A10:B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GENERALES</vt:lpstr>
      <vt:lpstr>MONTAJE </vt:lpstr>
      <vt:lpstr>CALIBRACION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CINTATEX</dc:creator>
  <cp:lastModifiedBy>PAUCAR GUALOTUÑA JHONNI ALEXANDER</cp:lastModifiedBy>
  <dcterms:created xsi:type="dcterms:W3CDTF">2026-09-08T16:05:38Z</dcterms:created>
  <dcterms:modified xsi:type="dcterms:W3CDTF">2026-10-04T22:39:54Z</dcterms:modified>
</cp:coreProperties>
</file>