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honni\Desktop\"/>
    </mc:Choice>
  </mc:AlternateContent>
  <xr:revisionPtr revIDLastSave="0" documentId="13_ncr:1_{77487505-0582-4817-AA13-DBFB66C1F662}" xr6:coauthVersionLast="47" xr6:coauthVersionMax="47" xr10:uidLastSave="{00000000-0000-0000-0000-000000000000}"/>
  <bookViews>
    <workbookView xWindow="-108" yWindow="-108" windowWidth="23256" windowHeight="12456" activeTab="1" xr2:uid="{8D15FAD3-5CB3-4271-9BC0-185F704E31E9}"/>
  </bookViews>
  <sheets>
    <sheet name="DATOS GENERALES" sheetId="1" r:id="rId1"/>
    <sheet name="MONTAJE " sheetId="3" r:id="rId2"/>
    <sheet name="CALIBRACION " sheetId="6" r:id="rId3"/>
    <sheet name="URDIDO" sheetId="7" r:id="rId4"/>
  </sheets>
  <definedNames>
    <definedName name="_xlnm._FilterDatabase" localSheetId="0" hidden="1">'DATOS GENERALES'!$A$1:$AI$32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8" i="7" l="1"/>
  <c r="B98" i="7"/>
  <c r="B92" i="7"/>
  <c r="B89" i="7"/>
  <c r="B82" i="7"/>
  <c r="B75" i="7"/>
  <c r="B68" i="7"/>
  <c r="B64" i="7"/>
  <c r="B60" i="7"/>
  <c r="B50" i="7"/>
  <c r="B46" i="7"/>
  <c r="B37" i="7"/>
  <c r="B32" i="7"/>
  <c r="B25" i="7"/>
  <c r="B19" i="7"/>
  <c r="I15" i="7"/>
  <c r="I14" i="7"/>
  <c r="B14" i="7"/>
  <c r="B12" i="7"/>
  <c r="I8" i="7"/>
  <c r="I7" i="7"/>
  <c r="B7" i="7"/>
  <c r="I6" i="7"/>
  <c r="I5" i="7"/>
  <c r="I4" i="7"/>
  <c r="B4" i="7"/>
  <c r="F15" i="1" l="1"/>
  <c r="AG11" i="1" l="1"/>
  <c r="AF11" i="1"/>
  <c r="AF14" i="1" l="1"/>
  <c r="AH14" i="1" s="1"/>
  <c r="AF15" i="1"/>
  <c r="AH15" i="1" s="1"/>
  <c r="AF16" i="1"/>
  <c r="AH16" i="1" s="1"/>
  <c r="AF17" i="1"/>
  <c r="AH17" i="1" s="1"/>
  <c r="AF18" i="1"/>
  <c r="AH18" i="1" s="1"/>
  <c r="AF19" i="1"/>
  <c r="AH19" i="1" s="1"/>
  <c r="AF20" i="1"/>
  <c r="AH20" i="1" s="1"/>
  <c r="AF21" i="1"/>
  <c r="AH21" i="1" s="1"/>
  <c r="AF22" i="1"/>
  <c r="AH22" i="1" s="1"/>
  <c r="AF23" i="1"/>
  <c r="AH23" i="1" s="1"/>
  <c r="AF24" i="1"/>
  <c r="AH24" i="1" s="1"/>
  <c r="AF25" i="1"/>
  <c r="AH25" i="1" s="1"/>
  <c r="AF26" i="1"/>
  <c r="AH26" i="1" s="1"/>
  <c r="AF27" i="1"/>
  <c r="AH27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R27" i="1"/>
  <c r="R26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AG3" i="1" l="1"/>
  <c r="X2" i="1"/>
  <c r="X3" i="1"/>
  <c r="X4" i="1"/>
  <c r="X5" i="1"/>
  <c r="X6" i="1"/>
  <c r="X7" i="1"/>
  <c r="X8" i="1"/>
  <c r="AF10" i="1" l="1"/>
  <c r="AH10" i="1" s="1"/>
  <c r="AH11" i="1"/>
  <c r="AF12" i="1"/>
  <c r="AH12" i="1"/>
  <c r="L10" i="1" l="1"/>
  <c r="L11" i="1"/>
  <c r="L12" i="1"/>
  <c r="L13" i="1"/>
  <c r="R4" i="1" l="1"/>
  <c r="R5" i="1"/>
  <c r="R6" i="1"/>
  <c r="R7" i="1"/>
  <c r="AG2" i="1" l="1"/>
  <c r="J57" i="3" l="1"/>
  <c r="I57" i="3"/>
  <c r="H57" i="3"/>
  <c r="G57" i="3"/>
  <c r="F57" i="3"/>
  <c r="E57" i="3"/>
  <c r="D57" i="3"/>
  <c r="C57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57" i="3" l="1"/>
  <c r="R2" i="1"/>
  <c r="R3" i="1"/>
  <c r="Y2" i="1" l="1"/>
  <c r="Z2" i="1" s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T2" i="1"/>
  <c r="T3" i="1"/>
  <c r="T4" i="1"/>
  <c r="T5" i="1"/>
  <c r="T6" i="1"/>
  <c r="T7" i="1"/>
  <c r="T8" i="1"/>
  <c r="V2" i="1"/>
  <c r="V3" i="1"/>
  <c r="V4" i="1"/>
  <c r="V5" i="1"/>
  <c r="V6" i="1"/>
  <c r="V7" i="1"/>
  <c r="V8" i="1"/>
  <c r="V9" i="1"/>
  <c r="AF2" i="1" l="1"/>
  <c r="AH2" i="1" s="1"/>
  <c r="AF3" i="1"/>
  <c r="AH3" i="1" s="1"/>
  <c r="AF4" i="1"/>
  <c r="AH4" i="1" s="1"/>
  <c r="L2" i="1"/>
  <c r="L3" i="1"/>
  <c r="L4" i="1"/>
  <c r="X9" i="1" l="1"/>
  <c r="AF30" i="1" l="1"/>
  <c r="AH30" i="1" s="1"/>
  <c r="AF5" i="1"/>
  <c r="AH5" i="1" s="1"/>
  <c r="AF6" i="1"/>
  <c r="AH6" i="1" s="1"/>
  <c r="AF7" i="1"/>
  <c r="AH7" i="1" s="1"/>
  <c r="AF8" i="1"/>
  <c r="AH8" i="1" s="1"/>
  <c r="R30" i="1"/>
  <c r="L30" i="1" l="1"/>
  <c r="L5" i="1"/>
  <c r="L6" i="1"/>
  <c r="L7" i="1"/>
  <c r="L8" i="1"/>
  <c r="L29" i="1" l="1"/>
  <c r="L9" i="1"/>
  <c r="L31" i="1"/>
  <c r="L32" i="1"/>
  <c r="AF29" i="1"/>
  <c r="AH29" i="1" s="1"/>
  <c r="AF9" i="1"/>
  <c r="AH9" i="1" s="1"/>
  <c r="AF13" i="1"/>
  <c r="AH13" i="1" s="1"/>
  <c r="AF31" i="1"/>
  <c r="AF32" i="1"/>
  <c r="AH31" i="1"/>
  <c r="AH32" i="1"/>
  <c r="T30" i="1"/>
  <c r="V29" i="1"/>
  <c r="X29" i="1"/>
  <c r="Y29" i="1"/>
  <c r="Z29" i="1" s="1"/>
  <c r="T31" i="1"/>
  <c r="V31" i="1"/>
  <c r="Y31" i="1"/>
  <c r="T32" i="1"/>
  <c r="V32" i="1"/>
  <c r="Y32" i="1"/>
  <c r="R29" i="1"/>
  <c r="R31" i="1"/>
  <c r="R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CINTATEX</author>
  </authors>
  <commentList>
    <comment ref="A16" authorId="0" shapeId="0" xr:uid="{66413D3E-450A-41DD-A799-330749604670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COJIENDO CRUZERO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CINTATEX</author>
  </authors>
  <commentList>
    <comment ref="A33" authorId="0" shapeId="0" xr:uid="{D73E37A0-41E4-4A87-B66B-E4CA9B314C91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COJIENDO CRUZERO </t>
        </r>
      </text>
    </comment>
  </commentList>
</comments>
</file>

<file path=xl/sharedStrings.xml><?xml version="1.0" encoding="utf-8"?>
<sst xmlns="http://schemas.openxmlformats.org/spreadsheetml/2006/main" count="604" uniqueCount="233">
  <si>
    <t>DETALLE</t>
  </si>
  <si>
    <t>MAQUINA</t>
  </si>
  <si>
    <t>PRODUCTO</t>
  </si>
  <si>
    <t>CALIBRACION</t>
  </si>
  <si>
    <t>MTS PEDIDO</t>
  </si>
  <si>
    <t>MTS PRODUCCION</t>
  </si>
  <si>
    <t>MTS FACRURADOS</t>
  </si>
  <si>
    <t>STOCK</t>
  </si>
  <si>
    <t>MTS FALLA</t>
  </si>
  <si>
    <t>KG DE FALLA</t>
  </si>
  <si>
    <t>% FALLA</t>
  </si>
  <si>
    <t>EFICIENCIA MAQUINA</t>
  </si>
  <si>
    <t>INGRESO</t>
  </si>
  <si>
    <t>APROBACION</t>
  </si>
  <si>
    <t>INICIO PRODUCCION EN MAQUINA</t>
  </si>
  <si>
    <t xml:space="preserve">FECHA URDIDO </t>
  </si>
  <si>
    <t>DIAS</t>
  </si>
  <si>
    <t>FIN PRODUCCION</t>
  </si>
  <si>
    <t>FECHA FIN ENVOLTURA</t>
  </si>
  <si>
    <t>FECHA DE FACTURACION</t>
  </si>
  <si>
    <t xml:space="preserve">DIAS TOTAL DE ENTREGA </t>
  </si>
  <si>
    <t xml:space="preserve">EFICIENCIA DE ENTREGA </t>
  </si>
  <si>
    <t>ESTADO</t>
  </si>
  <si>
    <t xml:space="preserve">CLIENTE </t>
  </si>
  <si>
    <t>MTS X HORA</t>
  </si>
  <si>
    <t>TIRAS</t>
  </si>
  <si>
    <t>HORARIO 10/24H</t>
  </si>
  <si>
    <t xml:space="preserve">DIAS ESTANDAR DE PRODUCCION </t>
  </si>
  <si>
    <t xml:space="preserve">DIAS REALES DE PRODUCCION </t>
  </si>
  <si>
    <t>FECHA REAL FINAL PRODUCCION</t>
  </si>
  <si>
    <t>OBSERVACIONES</t>
  </si>
  <si>
    <t>REATA</t>
  </si>
  <si>
    <t>JAVIER</t>
  </si>
  <si>
    <t>OSCAR</t>
  </si>
  <si>
    <t>ORDENES DE PRODUCCION SEPTIEMBRE</t>
  </si>
  <si>
    <t>JESSICA</t>
  </si>
  <si>
    <t>JOSE</t>
  </si>
  <si>
    <t>TELAR #17</t>
  </si>
  <si>
    <t xml:space="preserve">TERMINADO </t>
  </si>
  <si>
    <t xml:space="preserve">                          STOCK</t>
  </si>
  <si>
    <t>OP28 SEP</t>
  </si>
  <si>
    <t>OP27 AGO</t>
  </si>
  <si>
    <t>OP26 AGO</t>
  </si>
  <si>
    <t>OP38 SEP</t>
  </si>
  <si>
    <t>REATA ZAPATO TAFETA DELGADA 10MM</t>
  </si>
  <si>
    <t xml:space="preserve">ORDEN </t>
  </si>
  <si>
    <t xml:space="preserve">AMPARO </t>
  </si>
  <si>
    <t>EVELYN</t>
  </si>
  <si>
    <t xml:space="preserve">JAVIER </t>
  </si>
  <si>
    <t xml:space="preserve">OSCAR </t>
  </si>
  <si>
    <t>ALEXANDER</t>
  </si>
  <si>
    <t xml:space="preserve">CLAUDIO </t>
  </si>
  <si>
    <t>CARLOS</t>
  </si>
  <si>
    <t>NUNEZ ACOSTA RAUL</t>
  </si>
  <si>
    <t>OP33-35 SEP</t>
  </si>
  <si>
    <t>TELAR #19</t>
  </si>
  <si>
    <t>OP49 SEP</t>
  </si>
  <si>
    <t>OP44 SEP</t>
  </si>
  <si>
    <t>OP29 AGO</t>
  </si>
  <si>
    <t>OP04 SEP</t>
  </si>
  <si>
    <t>OP47 SEP</t>
  </si>
  <si>
    <t>OP20 SEP</t>
  </si>
  <si>
    <t>OP16-23-15 SEP</t>
  </si>
  <si>
    <t>REATA CONFECCION EMPALMADA REF 10MM</t>
  </si>
  <si>
    <t>JESSICA/OSCAR</t>
  </si>
  <si>
    <t>ELASTICO BOSTON 30MM</t>
  </si>
  <si>
    <t>JAQ #17</t>
  </si>
  <si>
    <t>ELASTICO</t>
  </si>
  <si>
    <t xml:space="preserve">JESSICA  </t>
  </si>
  <si>
    <t>TEJEDURIA</t>
  </si>
  <si>
    <t>CINPORTEX</t>
  </si>
  <si>
    <t>JAQ #8</t>
  </si>
  <si>
    <t>JAQ #9</t>
  </si>
  <si>
    <t>CALIBRANDO</t>
  </si>
  <si>
    <t>OP30 SEP</t>
  </si>
  <si>
    <t>ELASTICO ZAPATO REFORZADO 8MM</t>
  </si>
  <si>
    <t>TELAR #8</t>
  </si>
  <si>
    <t>CLAUDIO</t>
  </si>
  <si>
    <t>ACABADOS</t>
  </si>
  <si>
    <t>OP48 SEP</t>
  </si>
  <si>
    <t>REATA CONFECCION ZARGA COLCHON 37MM</t>
  </si>
  <si>
    <t>TELAR #7</t>
  </si>
  <si>
    <t>MONTANDO</t>
  </si>
  <si>
    <t>OP22 SEP</t>
  </si>
  <si>
    <t>REATA CONFECCION ZARGA COLCHON 38MM</t>
  </si>
  <si>
    <t>TELAR #3</t>
  </si>
  <si>
    <t>SICORPMATTRESS</t>
  </si>
  <si>
    <t>OP34 SEP</t>
  </si>
  <si>
    <t>REATA CONFECCION EMPALMADA 10MM</t>
  </si>
  <si>
    <t>OP37-01 SEP</t>
  </si>
  <si>
    <t>REATA CONFECCION TAFETA GRUESA NYLON 16MM</t>
  </si>
  <si>
    <t>TELAR #14</t>
  </si>
  <si>
    <t>FAME</t>
  </si>
  <si>
    <t>OP26 SEP</t>
  </si>
  <si>
    <t>ELASTICO ZAPATO REFORZADO 80MM</t>
  </si>
  <si>
    <t>TELAR #13</t>
  </si>
  <si>
    <t>GAVILANES OCANA MARIA</t>
  </si>
  <si>
    <t>ELASTICO CONFECCION FAJAS MEDICAS NYLON 30MM</t>
  </si>
  <si>
    <t>JAQ #6</t>
  </si>
  <si>
    <t>GARCIA GONZALES INDIRA</t>
  </si>
  <si>
    <t>OP61 SEP</t>
  </si>
  <si>
    <t>CORDON TELAR TUBULAR JAQ PUNTA TEJIDA</t>
  </si>
  <si>
    <t>CORDON</t>
  </si>
  <si>
    <t>MONTAJE</t>
  </si>
  <si>
    <t>RODRIGUES ALEJANDRA- ZAMORA JULIO</t>
  </si>
  <si>
    <t>OP55-56 SEP</t>
  </si>
  <si>
    <t>ELASTICO ZAPATO HEBILLERO 10.-15MM</t>
  </si>
  <si>
    <t>TELAR #9</t>
  </si>
  <si>
    <t xml:space="preserve">CALIBRACION </t>
  </si>
  <si>
    <t>REATA CONFECCION EMPALMADA PES SPUN 15MM</t>
  </si>
  <si>
    <t>REATA CINFECCION EMPALMADA PES SPUN 15MM</t>
  </si>
  <si>
    <t>TELAR #6</t>
  </si>
  <si>
    <t>INJECTSOLE</t>
  </si>
  <si>
    <t>OP10 OCT</t>
  </si>
  <si>
    <t>REATA CONFECCION XARGA COLCHON 38MM</t>
  </si>
  <si>
    <t>OP40-41 SEP</t>
  </si>
  <si>
    <t>OP03 OCT</t>
  </si>
  <si>
    <t>REATA ZEBRA POLIESTER 10MM</t>
  </si>
  <si>
    <t>TELAR #2</t>
  </si>
  <si>
    <t>TUSA TUSA TANIA</t>
  </si>
  <si>
    <t>OP54 SEP</t>
  </si>
  <si>
    <t>REATA SANDALIA TUBULAR GRUESA 2 CANALES 4 COL 30MM</t>
  </si>
  <si>
    <t>MONTESINOS MARTHA - IMPOTIZ</t>
  </si>
  <si>
    <t>N. ORDEN</t>
  </si>
  <si>
    <t>CARRETOS</t>
  </si>
  <si>
    <t>METROS</t>
  </si>
  <si>
    <t>COLOR</t>
  </si>
  <si>
    <t>RESPONSABLE</t>
  </si>
  <si>
    <t>ARTICULO</t>
  </si>
  <si>
    <t>DIA</t>
  </si>
  <si>
    <t>OP57 SEP</t>
  </si>
  <si>
    <t>BLANCO/CAMOTE/COTTONE</t>
  </si>
  <si>
    <t>JUAN</t>
  </si>
  <si>
    <t>ELASTICO MARYURI</t>
  </si>
  <si>
    <t>SE DEVOLVIO MATERIAL, SE QUEDA MONTADO ALMA DE 2 CANALES PARA ORDEN OP54 SEP</t>
  </si>
  <si>
    <t># CARRETOS</t>
  </si>
  <si>
    <t>TOTAL</t>
  </si>
  <si>
    <t>OP41 SEP</t>
  </si>
  <si>
    <t>VERDE MILITAR</t>
  </si>
  <si>
    <t>BRYAN</t>
  </si>
  <si>
    <t>REATA ZAPATO 10MM</t>
  </si>
  <si>
    <t>SE PASO CONOS DE URD 3 A URD 2 / OP37-01 SEP REATA NYLON 16MM</t>
  </si>
  <si>
    <t>CRUDO</t>
  </si>
  <si>
    <t>REATA COLCHON 38MM</t>
  </si>
  <si>
    <t>JUAN-BRYAN</t>
  </si>
  <si>
    <t>ALEXANDER-BRYAN</t>
  </si>
  <si>
    <t>OP42 SEP</t>
  </si>
  <si>
    <t>REATA DELGADA 15MM</t>
  </si>
  <si>
    <t>VELADA</t>
  </si>
  <si>
    <t>OP59 SEP</t>
  </si>
  <si>
    <t>FUCSIA/MENTA LARA</t>
  </si>
  <si>
    <t>SPANDEX BLANCO</t>
  </si>
  <si>
    <t>OP40 SEP</t>
  </si>
  <si>
    <t>PLOMO</t>
  </si>
  <si>
    <t>REATA ZAPATO TAFETEA DELGADA 10MM</t>
  </si>
  <si>
    <t>URD 2 QUEDA MONTADA PARA ORDEN OP05 JUL-COR QUEDA CON METRAJE DE  2800 - AMARILLO QUEDA CON METRAJE DE 9870</t>
  </si>
  <si>
    <t>AMARILLO/ROSADO</t>
  </si>
  <si>
    <t>OP05 JUL-COR</t>
  </si>
  <si>
    <t xml:space="preserve">BLANCO  </t>
  </si>
  <si>
    <t>CORDON LENTO 22H #2</t>
  </si>
  <si>
    <t>OP02 SEP-COR</t>
  </si>
  <si>
    <t xml:space="preserve">FUCSIA  </t>
  </si>
  <si>
    <t>BLANCO</t>
  </si>
  <si>
    <t>ROJO</t>
  </si>
  <si>
    <t xml:space="preserve">AMARILLO  </t>
  </si>
  <si>
    <t>ELASTICO FAJAS MEDICAS 30MM</t>
  </si>
  <si>
    <t>OP56 SEP</t>
  </si>
  <si>
    <t>NEGRO</t>
  </si>
  <si>
    <t>JUAN-VELADA</t>
  </si>
  <si>
    <t>ELASTICO HEBILLERO 15MM</t>
  </si>
  <si>
    <t>OP55 SEP</t>
  </si>
  <si>
    <t>ELASTICO HEBILLERO 10MM</t>
  </si>
  <si>
    <t>AZUL MARINO</t>
  </si>
  <si>
    <t>CORDON TELAR TUBULAR NYLON JAQ PUNTA TEJIDA</t>
  </si>
  <si>
    <t>OP46 SEP</t>
  </si>
  <si>
    <t>REATA SANDALIA TUBULAR 3 COCIDOS INVISIBLES 20MM</t>
  </si>
  <si>
    <t>PLOMO MEDIO/NEGRO/CRUDO</t>
  </si>
  <si>
    <t>REATA ZARGA COLCHON 37MM</t>
  </si>
  <si>
    <t>SE ENTREGO CARRETOS, SE DEJA MONTADO URD 1 PARA ALMA</t>
  </si>
  <si>
    <t>ROSADO</t>
  </si>
  <si>
    <t>OP43 SEP</t>
  </si>
  <si>
    <t>LILA</t>
  </si>
  <si>
    <t>REATA SANDALIA 3 COSIDOS INVISIBLES 20MM</t>
  </si>
  <si>
    <t>OP15 AGO</t>
  </si>
  <si>
    <t>AMARILLO</t>
  </si>
  <si>
    <t>CORDON PLANO 88PP</t>
  </si>
  <si>
    <t>VARIOS STRETCH ALMA</t>
  </si>
  <si>
    <t>AZUL ELECTRICO</t>
  </si>
  <si>
    <t>ROJO NYLON</t>
  </si>
  <si>
    <t>VARIOS COLORES</t>
  </si>
  <si>
    <t>BLANCO AZULADO</t>
  </si>
  <si>
    <t>REATA ZEBRA 10MM</t>
  </si>
  <si>
    <t>SE DEMORO LA ORDEN 4 COSIDOS DE ORDEN OP46 SEP POR CAMBIAR CONOS, SE ENTREGO CARRETOS</t>
  </si>
  <si>
    <t>ROSADO CHINO</t>
  </si>
  <si>
    <t>OP04 OCT</t>
  </si>
  <si>
    <t xml:space="preserve">ROSADO  </t>
  </si>
  <si>
    <t>REATA MOCHILA DELGADA 10MM</t>
  </si>
  <si>
    <t>REATA CONFECCION EMPALMADA SPUN 15MM</t>
  </si>
  <si>
    <t>OP52 SEP</t>
  </si>
  <si>
    <t xml:space="preserve">MIEL </t>
  </si>
  <si>
    <t>ELASTICO REFORZADO 6MM</t>
  </si>
  <si>
    <t>MELON</t>
  </si>
  <si>
    <t xml:space="preserve"> VINO</t>
  </si>
  <si>
    <t>OP30 OCT</t>
  </si>
  <si>
    <t>NEGRO/AZUL MARINO/ROSADO</t>
  </si>
  <si>
    <t>VARIOS</t>
  </si>
  <si>
    <t xml:space="preserve">ROSADO CHINO </t>
  </si>
  <si>
    <t>OP50 SEP</t>
  </si>
  <si>
    <t xml:space="preserve">NEGRO  </t>
  </si>
  <si>
    <t>ELASTICO CONFECCION EL 149 100MM</t>
  </si>
  <si>
    <t>CAFÉ</t>
  </si>
  <si>
    <t>EL CAFÉ FRNACISCO CAMBIO DE TONO EN LOS PRIMEROS 2000 MTS</t>
  </si>
  <si>
    <t>OP50/05 SEP</t>
  </si>
  <si>
    <t>ELASTICO CONFECCION 100MM</t>
  </si>
  <si>
    <t>SE DEJA MONTADO EN URD #2, ORDEN REATA 2 CANALES 4 COL AZUL MARINO, LA MAQUINA QUEDA PARADA 2 HORAS PORQUE SE MOVIO ESTRUCTURA</t>
  </si>
  <si>
    <t>BIEGE</t>
  </si>
  <si>
    <t>SE MOVIO LA ESTRUCTURA DE LA URDIDORA #4, DEBEN CALIBRAR BIEN</t>
  </si>
  <si>
    <t xml:space="preserve">MUESTRA </t>
  </si>
  <si>
    <t>POLIESTER 75 (NEGRO)</t>
  </si>
  <si>
    <t>ELASTICO DE CALZADO BAILARINA</t>
  </si>
  <si>
    <t>POLIESTER TANGLEADO 150 (NEGRO)</t>
  </si>
  <si>
    <t>BEIGE</t>
  </si>
  <si>
    <t>ALMA</t>
  </si>
  <si>
    <t>OP06 SEP</t>
  </si>
  <si>
    <t>ELASTICO CONFECCCION REFORZADO 25MM</t>
  </si>
  <si>
    <t>OP05 OCT</t>
  </si>
  <si>
    <t>RETA TAFETA DELGADA 15MM</t>
  </si>
  <si>
    <t>MELANGE CLARO</t>
  </si>
  <si>
    <t>BOSTON</t>
  </si>
  <si>
    <t>AMARILLO BAJO 699</t>
  </si>
  <si>
    <t xml:space="preserve">CELESTE </t>
  </si>
  <si>
    <t>AMARILLO BAJO 699/VINO</t>
  </si>
  <si>
    <t>CELESTE/GRIS PERLA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</si>
</sst>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b/>
      <sz val="9"/>
      <color theme="0"/>
      <name val="Century Gothic"/>
      <family val="2"/>
    </font>
    <font>
      <b/>
      <sz val="10"/>
      <color theme="1"/>
      <name val="Century Gothic"/>
      <family val="2"/>
    </font>
    <font>
      <b/>
      <sz val="10"/>
      <color theme="2"/>
      <name val="Century Gothic"/>
      <family val="2"/>
    </font>
    <font>
      <sz val="8"/>
      <color theme="1"/>
      <name val="Century Gothic"/>
      <family val="2"/>
    </font>
    <font>
      <sz val="10"/>
      <color theme="1"/>
      <name val="Century Gothic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8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9" fontId="2" fillId="7" borderId="1" xfId="1" applyFont="1" applyFill="1" applyBorder="1" applyAlignment="1">
      <alignment horizontal="center" vertical="center" wrapText="1"/>
    </xf>
    <xf numFmtId="9" fontId="2" fillId="8" borderId="1" xfId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9" fontId="7" fillId="0" borderId="1" xfId="1" applyFont="1" applyBorder="1" applyAlignment="1">
      <alignment horizontal="center" vertical="center"/>
    </xf>
    <xf numFmtId="9" fontId="7" fillId="0" borderId="1" xfId="1" applyFont="1" applyBorder="1" applyAlignment="1">
      <alignment horizontal="center"/>
    </xf>
    <xf numFmtId="14" fontId="7" fillId="15" borderId="1" xfId="0" applyNumberFormat="1" applyFont="1" applyFill="1" applyBorder="1"/>
    <xf numFmtId="0" fontId="7" fillId="15" borderId="1" xfId="0" applyFont="1" applyFill="1" applyBorder="1" applyAlignment="1">
      <alignment horizontal="center" vertical="center"/>
    </xf>
    <xf numFmtId="14" fontId="7" fillId="16" borderId="1" xfId="0" applyNumberFormat="1" applyFont="1" applyFill="1" applyBorder="1"/>
    <xf numFmtId="0" fontId="7" fillId="16" borderId="1" xfId="0" applyFont="1" applyFill="1" applyBorder="1" applyAlignment="1">
      <alignment horizontal="center" vertical="center"/>
    </xf>
    <xf numFmtId="14" fontId="7" fillId="17" borderId="1" xfId="0" applyNumberFormat="1" applyFont="1" applyFill="1" applyBorder="1"/>
    <xf numFmtId="0" fontId="7" fillId="17" borderId="1" xfId="0" applyFont="1" applyFill="1" applyBorder="1" applyAlignment="1">
      <alignment horizontal="center" vertical="center"/>
    </xf>
    <xf numFmtId="14" fontId="7" fillId="18" borderId="1" xfId="0" applyNumberFormat="1" applyFont="1" applyFill="1" applyBorder="1"/>
    <xf numFmtId="0" fontId="7" fillId="18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8" fillId="0" borderId="1" xfId="2" applyFill="1" applyBorder="1"/>
    <xf numFmtId="14" fontId="0" fillId="0" borderId="1" xfId="0" applyNumberFormat="1" applyBorder="1"/>
    <xf numFmtId="0" fontId="8" fillId="0" borderId="1" xfId="2" applyBorder="1"/>
    <xf numFmtId="0" fontId="10" fillId="20" borderId="1" xfId="0" applyFont="1" applyFill="1" applyBorder="1" applyAlignment="1">
      <alignment horizontal="center" vertical="center"/>
    </xf>
    <xf numFmtId="0" fontId="8" fillId="0" borderId="1" xfId="2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0" borderId="1" xfId="2" applyBorder="1" applyAlignment="1">
      <alignment horizontal="left" vertical="center"/>
    </xf>
    <xf numFmtId="16" fontId="8" fillId="0" borderId="1" xfId="2" applyNumberFormat="1" applyBorder="1" applyAlignment="1">
      <alignment horizontal="left" vertical="center"/>
    </xf>
    <xf numFmtId="1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14" borderId="0" xfId="0" applyFill="1"/>
    <xf numFmtId="0" fontId="0" fillId="0" borderId="1" xfId="0" applyBorder="1" applyAlignment="1">
      <alignment horizontal="center" vertical="center"/>
    </xf>
    <xf numFmtId="0" fontId="8" fillId="14" borderId="1" xfId="2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8" fillId="14" borderId="1" xfId="2" applyFill="1" applyBorder="1"/>
    <xf numFmtId="0" fontId="0" fillId="14" borderId="1" xfId="0" applyFill="1" applyBorder="1"/>
    <xf numFmtId="0" fontId="9" fillId="19" borderId="2" xfId="0" applyFont="1" applyFill="1" applyBorder="1" applyAlignment="1">
      <alignment horizontal="left"/>
    </xf>
    <xf numFmtId="0" fontId="9" fillId="19" borderId="3" xfId="0" applyFont="1" applyFill="1" applyBorder="1" applyAlignment="1">
      <alignment horizontal="left"/>
    </xf>
    <xf numFmtId="0" fontId="9" fillId="19" borderId="4" xfId="0" applyFont="1" applyFill="1" applyBorder="1" applyAlignment="1">
      <alignment horizontal="left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left" vertical="center"/>
    </xf>
    <xf numFmtId="0" fontId="0" fillId="21" borderId="1" xfId="0" applyFill="1" applyBorder="1"/>
    <xf numFmtId="14" fontId="0" fillId="14" borderId="2" xfId="0" applyNumberFormat="1" applyFill="1" applyBorder="1" applyAlignment="1">
      <alignment horizontal="center"/>
    </xf>
    <xf numFmtId="14" fontId="0" fillId="14" borderId="3" xfId="0" applyNumberFormat="1" applyFill="1" applyBorder="1" applyAlignment="1">
      <alignment horizontal="center"/>
    </xf>
    <xf numFmtId="14" fontId="0" fillId="14" borderId="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14" borderId="7" xfId="0" applyFill="1" applyBorder="1" applyAlignment="1">
      <alignment horizontal="center"/>
    </xf>
    <xf numFmtId="0" fontId="0" fillId="23" borderId="8" xfId="0" applyFill="1" applyBorder="1" applyAlignment="1">
      <alignment horizontal="center"/>
    </xf>
    <xf numFmtId="0" fontId="10" fillId="24" borderId="1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7" xfId="0" applyFill="1" applyBorder="1"/>
    <xf numFmtId="1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Hipervínculo" xfId="2" builtinId="8"/>
    <cellStyle name="Normal" xfId="0" builtinId="0"/>
    <cellStyle name="Porcentaje" xfId="1" builtinId="5"/>
  </cellStyles>
  <dxfs count="35"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#DE TIRAS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'MONTAJE '!$C$1:$J$1</c:f>
              <c:strCache>
                <c:ptCount val="8"/>
                <c:pt idx="0">
                  <c:v>AMPARO </c:v>
                </c:pt>
                <c:pt idx="1">
                  <c:v>EVELYN</c:v>
                </c:pt>
                <c:pt idx="2">
                  <c:v>JAVIER </c:v>
                </c:pt>
                <c:pt idx="3">
                  <c:v>JESSICA</c:v>
                </c:pt>
                <c:pt idx="4">
                  <c:v>OSCAR </c:v>
                </c:pt>
                <c:pt idx="5">
                  <c:v>ALEXANDER</c:v>
                </c:pt>
                <c:pt idx="6">
                  <c:v>CLAUDIO </c:v>
                </c:pt>
                <c:pt idx="7">
                  <c:v>JOSE</c:v>
                </c:pt>
              </c:strCache>
            </c:strRef>
          </c:cat>
          <c:val>
            <c:numRef>
              <c:f>'MONTAJE '!$C$57:$J$57</c:f>
              <c:numCache>
                <c:formatCode>General</c:formatCode>
                <c:ptCount val="8"/>
                <c:pt idx="0">
                  <c:v>33</c:v>
                </c:pt>
                <c:pt idx="1">
                  <c:v>28</c:v>
                </c:pt>
                <c:pt idx="2">
                  <c:v>0</c:v>
                </c:pt>
                <c:pt idx="3">
                  <c:v>39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6-4A7B-8597-B6CD12536D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24697247"/>
        <c:axId val="224696831"/>
      </c:barChart>
      <c:catAx>
        <c:axId val="2246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224696831"/>
        <c:crosses val="autoZero"/>
        <c:auto val="1"/>
        <c:lblAlgn val="ctr"/>
        <c:lblOffset val="100"/>
        <c:noMultiLvlLbl val="0"/>
      </c:catAx>
      <c:valAx>
        <c:axId val="224696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46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57</xdr:row>
      <xdr:rowOff>139065</xdr:rowOff>
    </xdr:from>
    <xdr:to>
      <xdr:col>10</xdr:col>
      <xdr:colOff>0</xdr:colOff>
      <xdr:row>70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BDAF98-A17D-430D-8C76-49D19C8E2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TELARES%20Y%20JAQ\KY13.xlsx" TargetMode="External"/><Relationship Id="rId13" Type="http://schemas.openxmlformats.org/officeDocument/2006/relationships/hyperlink" Target="..\TELARES%20Y%20JAQ\KY19.xlsx" TargetMode="External"/><Relationship Id="rId3" Type="http://schemas.openxmlformats.org/officeDocument/2006/relationships/hyperlink" Target="..\TELARES%20Y%20JAQ\KY8.xlsx" TargetMode="External"/><Relationship Id="rId7" Type="http://schemas.openxmlformats.org/officeDocument/2006/relationships/hyperlink" Target="..\TELARES%20Y%20JAQ\KY14.xlsx" TargetMode="External"/><Relationship Id="rId12" Type="http://schemas.openxmlformats.org/officeDocument/2006/relationships/hyperlink" Target="..\TELARES%20Y%20JAQ\KY6.xlsx" TargetMode="External"/><Relationship Id="rId2" Type="http://schemas.openxmlformats.org/officeDocument/2006/relationships/hyperlink" Target="..\TELARES%20Y%20JAQ\KY19.xlsx" TargetMode="External"/><Relationship Id="rId1" Type="http://schemas.openxmlformats.org/officeDocument/2006/relationships/hyperlink" Target="..\TELARES%20Y%20JAQ\KY17.xlsx" TargetMode="External"/><Relationship Id="rId6" Type="http://schemas.openxmlformats.org/officeDocument/2006/relationships/hyperlink" Target="..\TELARES%20Y%20JAQ\KY7.xlsx" TargetMode="External"/><Relationship Id="rId11" Type="http://schemas.openxmlformats.org/officeDocument/2006/relationships/hyperlink" Target="..\TELARES%20Y%20JAQ\JAQ9.xlsx" TargetMode="External"/><Relationship Id="rId5" Type="http://schemas.openxmlformats.org/officeDocument/2006/relationships/hyperlink" Target="..\TELARES%20Y%20JAQ\JAQ17.xlsx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..\TELARES%20Y%20JAQ\JAQ9.xlsx" TargetMode="External"/><Relationship Id="rId4" Type="http://schemas.openxmlformats.org/officeDocument/2006/relationships/hyperlink" Target="..\TELARES%20Y%20JAQ\JAQ8.xlsx" TargetMode="External"/><Relationship Id="rId9" Type="http://schemas.openxmlformats.org/officeDocument/2006/relationships/hyperlink" Target="..\TELARES%20Y%20JAQ\JAQ6.xlsx" TargetMode="External"/><Relationship Id="rId14" Type="http://schemas.openxmlformats.org/officeDocument/2006/relationships/hyperlink" Target="..\TELARES%20Y%20JAQ\KY17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\TELARES%20Y%20JAQ\KY13.xlsx" TargetMode="External"/><Relationship Id="rId13" Type="http://schemas.openxmlformats.org/officeDocument/2006/relationships/hyperlink" Target="..\TELARES%20Y%20JAQ\KY19.xlsx" TargetMode="External"/><Relationship Id="rId3" Type="http://schemas.openxmlformats.org/officeDocument/2006/relationships/hyperlink" Target="..\TELARES%20Y%20JAQ\KY8.xlsx" TargetMode="External"/><Relationship Id="rId7" Type="http://schemas.openxmlformats.org/officeDocument/2006/relationships/hyperlink" Target="..\TELARES%20Y%20JAQ\KY14.xlsx" TargetMode="External"/><Relationship Id="rId12" Type="http://schemas.openxmlformats.org/officeDocument/2006/relationships/hyperlink" Target="..\TELARES%20Y%20JAQ\KY6.xlsx" TargetMode="External"/><Relationship Id="rId2" Type="http://schemas.openxmlformats.org/officeDocument/2006/relationships/hyperlink" Target="..\TELARES%20Y%20JAQ\KY19.xlsx" TargetMode="External"/><Relationship Id="rId16" Type="http://schemas.openxmlformats.org/officeDocument/2006/relationships/comments" Target="../comments2.xml"/><Relationship Id="rId1" Type="http://schemas.openxmlformats.org/officeDocument/2006/relationships/hyperlink" Target="..\TELARES%20Y%20JAQ\KY17.xlsx" TargetMode="External"/><Relationship Id="rId6" Type="http://schemas.openxmlformats.org/officeDocument/2006/relationships/hyperlink" Target="..\TELARES%20Y%20JAQ\KY7.xlsx" TargetMode="External"/><Relationship Id="rId11" Type="http://schemas.openxmlformats.org/officeDocument/2006/relationships/hyperlink" Target="..\TELARES%20Y%20JAQ\JAQ9.xlsx" TargetMode="External"/><Relationship Id="rId5" Type="http://schemas.openxmlformats.org/officeDocument/2006/relationships/hyperlink" Target="..\TELARES%20Y%20JAQ\JAQ17.xlsx" TargetMode="External"/><Relationship Id="rId15" Type="http://schemas.openxmlformats.org/officeDocument/2006/relationships/vmlDrawing" Target="../drawings/vmlDrawing2.vml"/><Relationship Id="rId10" Type="http://schemas.openxmlformats.org/officeDocument/2006/relationships/hyperlink" Target="..\TELARES%20Y%20JAQ\JAQ9.xlsx" TargetMode="External"/><Relationship Id="rId4" Type="http://schemas.openxmlformats.org/officeDocument/2006/relationships/hyperlink" Target="..\TELARES%20Y%20JAQ\JAQ8.xlsx" TargetMode="External"/><Relationship Id="rId9" Type="http://schemas.openxmlformats.org/officeDocument/2006/relationships/hyperlink" Target="..\TELARES%20Y%20JAQ\JAQ6.xlsx" TargetMode="External"/><Relationship Id="rId14" Type="http://schemas.openxmlformats.org/officeDocument/2006/relationships/hyperlink" Target="..\TELARES%20Y%20JAQ\KY17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3D90-E25B-47CC-A1ED-22A0FDF05D86}">
  <sheetPr codeName="Hoja1"/>
  <dimension ref="A1:AI32"/>
  <sheetViews>
    <sheetView zoomScale="57" zoomScaleNormal="57" workbookViewId="0">
      <selection activeCell="B2" sqref="B2:B21"/>
    </sheetView>
  </sheetViews>
  <sheetFormatPr baseColWidth="10" defaultRowHeight="14.4" x14ac:dyDescent="0.3"/>
  <cols>
    <col min="1" max="1" width="13.5546875" customWidth="1"/>
    <col min="2" max="2" width="49.5546875" customWidth="1"/>
    <col min="14" max="14" width="12" style="40" customWidth="1"/>
    <col min="15" max="15" width="12.5546875" style="40" customWidth="1"/>
    <col min="16" max="17" width="13.33203125" style="40" customWidth="1"/>
    <col min="27" max="27" width="15.6640625" customWidth="1"/>
    <col min="28" max="28" width="14.44140625" customWidth="1"/>
    <col min="34" max="34" width="14.44140625" customWidth="1"/>
    <col min="35" max="35" width="26.6640625" customWidth="1"/>
  </cols>
  <sheetData>
    <row r="1" spans="1:35" s="26" customFormat="1" ht="91.5" customHeight="1" x14ac:dyDescent="0.25">
      <c r="A1" s="1" t="s">
        <v>34</v>
      </c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8" t="s">
        <v>11</v>
      </c>
      <c r="N1" s="9" t="s">
        <v>12</v>
      </c>
      <c r="O1" s="9" t="s">
        <v>13</v>
      </c>
      <c r="P1" s="10" t="s">
        <v>14</v>
      </c>
      <c r="Q1" s="11" t="s">
        <v>15</v>
      </c>
      <c r="R1" s="12" t="s">
        <v>16</v>
      </c>
      <c r="S1" s="13" t="s">
        <v>17</v>
      </c>
      <c r="T1" s="14" t="s">
        <v>16</v>
      </c>
      <c r="U1" s="15" t="s">
        <v>18</v>
      </c>
      <c r="V1" s="16" t="s">
        <v>16</v>
      </c>
      <c r="W1" s="17" t="s">
        <v>19</v>
      </c>
      <c r="X1" s="17" t="s">
        <v>16</v>
      </c>
      <c r="Y1" s="18" t="s">
        <v>20</v>
      </c>
      <c r="Z1" s="1" t="s">
        <v>21</v>
      </c>
      <c r="AA1" s="41" t="s">
        <v>22</v>
      </c>
      <c r="AB1" s="19" t="s">
        <v>23</v>
      </c>
      <c r="AC1" s="20" t="s">
        <v>24</v>
      </c>
      <c r="AD1" s="21" t="s">
        <v>25</v>
      </c>
      <c r="AE1" s="22" t="s">
        <v>26</v>
      </c>
      <c r="AF1" s="23" t="s">
        <v>27</v>
      </c>
      <c r="AG1" s="23" t="s">
        <v>28</v>
      </c>
      <c r="AH1" s="24" t="s">
        <v>29</v>
      </c>
      <c r="AI1" s="25" t="s">
        <v>30</v>
      </c>
    </row>
    <row r="2" spans="1:35" x14ac:dyDescent="0.3">
      <c r="A2" s="43" t="s">
        <v>43</v>
      </c>
      <c r="B2" s="42" t="s">
        <v>44</v>
      </c>
      <c r="C2" s="42" t="s">
        <v>37</v>
      </c>
      <c r="D2" s="42" t="s">
        <v>31</v>
      </c>
      <c r="E2" s="42" t="s">
        <v>33</v>
      </c>
      <c r="F2" s="42">
        <v>6000</v>
      </c>
      <c r="G2" s="42">
        <v>5469</v>
      </c>
      <c r="H2" s="42">
        <v>5300</v>
      </c>
      <c r="I2" s="42"/>
      <c r="J2" s="42">
        <v>517</v>
      </c>
      <c r="K2" s="42">
        <v>1.55</v>
      </c>
      <c r="L2" s="29">
        <f t="shared" ref="L2:L32" si="0">+J2/G2</f>
        <v>9.4532821356737975E-2</v>
      </c>
      <c r="M2" s="30">
        <v>0.62</v>
      </c>
      <c r="N2" s="44">
        <v>46276</v>
      </c>
      <c r="O2" s="44">
        <v>46276</v>
      </c>
      <c r="P2" s="44">
        <v>46296</v>
      </c>
      <c r="Q2" s="31">
        <v>46294</v>
      </c>
      <c r="R2" s="32">
        <f t="shared" ref="R2:R32" si="1">IF(Q2="","",NETWORKDAYS(N2,Q2))</f>
        <v>13</v>
      </c>
      <c r="S2" s="33">
        <v>46296</v>
      </c>
      <c r="T2" s="34">
        <f t="shared" ref="T2:T32" si="2">IF(S2="","",NETWORKDAYS(Q2,S2))</f>
        <v>3</v>
      </c>
      <c r="U2" s="35">
        <v>46301</v>
      </c>
      <c r="V2" s="36">
        <f t="shared" ref="V2:V32" si="3">IF(U2="","",NETWORKDAYS(S2,U2))</f>
        <v>4</v>
      </c>
      <c r="W2" s="37"/>
      <c r="X2" s="38" t="str">
        <f t="shared" ref="X2:X8" si="4">IF(W2="","",NETWORKDAYS(U2,W2))</f>
        <v/>
      </c>
      <c r="Y2" s="38" t="str">
        <f t="shared" ref="Y2:Y32" si="5">IF(W2="","",NETWORKDAYS(N2,W2))</f>
        <v/>
      </c>
      <c r="Z2" s="28" t="str">
        <f t="shared" ref="Z2:Z27" si="6">IF(Y2="","",IF(Y2&lt;=20,"EFICIENTE","NO EFICIENTE"))</f>
        <v/>
      </c>
      <c r="AA2" s="27" t="s">
        <v>38</v>
      </c>
      <c r="AB2" s="42" t="s">
        <v>53</v>
      </c>
      <c r="AC2" s="42">
        <v>89.76</v>
      </c>
      <c r="AD2" s="42">
        <v>6</v>
      </c>
      <c r="AE2" s="42">
        <v>24</v>
      </c>
      <c r="AF2" s="27">
        <f t="shared" ref="AF2:AF8" si="7">ROUNDUP((F2*1/(AC2*AD2*M2*AE2)),0)</f>
        <v>1</v>
      </c>
      <c r="AG2" s="42">
        <f>20/24</f>
        <v>0.83333333333333337</v>
      </c>
      <c r="AH2" s="39">
        <f t="shared" ref="AH2:AH32" si="8">WORKDAY.INTL(P2,AF2,1,0)</f>
        <v>46297</v>
      </c>
      <c r="AI2" s="42"/>
    </row>
    <row r="3" spans="1:35" x14ac:dyDescent="0.3">
      <c r="A3" s="45" t="s">
        <v>54</v>
      </c>
      <c r="B3" s="42" t="s">
        <v>63</v>
      </c>
      <c r="C3" s="42" t="s">
        <v>55</v>
      </c>
      <c r="D3" s="42" t="s">
        <v>31</v>
      </c>
      <c r="E3" s="42" t="s">
        <v>64</v>
      </c>
      <c r="F3" s="42">
        <v>8000</v>
      </c>
      <c r="G3" s="42">
        <v>7600</v>
      </c>
      <c r="H3" s="42">
        <v>7542</v>
      </c>
      <c r="I3" s="42"/>
      <c r="J3" s="42">
        <v>114</v>
      </c>
      <c r="K3" s="42">
        <v>0.84</v>
      </c>
      <c r="L3" s="29">
        <f t="shared" si="0"/>
        <v>1.4999999999999999E-2</v>
      </c>
      <c r="M3" s="30">
        <v>0.82</v>
      </c>
      <c r="N3" s="44">
        <v>46276</v>
      </c>
      <c r="O3" s="44">
        <v>46276</v>
      </c>
      <c r="P3" s="44">
        <v>46300</v>
      </c>
      <c r="Q3" s="31">
        <v>46290</v>
      </c>
      <c r="R3" s="32">
        <f t="shared" si="1"/>
        <v>11</v>
      </c>
      <c r="S3" s="33">
        <v>46300</v>
      </c>
      <c r="T3" s="34">
        <f t="shared" si="2"/>
        <v>7</v>
      </c>
      <c r="U3" s="35">
        <v>46301</v>
      </c>
      <c r="V3" s="36">
        <f t="shared" si="3"/>
        <v>2</v>
      </c>
      <c r="W3" s="37">
        <v>46301</v>
      </c>
      <c r="X3" s="38">
        <f t="shared" si="4"/>
        <v>1</v>
      </c>
      <c r="Y3" s="38">
        <f t="shared" si="5"/>
        <v>18</v>
      </c>
      <c r="Z3" s="28" t="str">
        <f t="shared" si="6"/>
        <v>EFICIENTE</v>
      </c>
      <c r="AA3" s="27" t="s">
        <v>38</v>
      </c>
      <c r="AB3" s="42" t="s">
        <v>53</v>
      </c>
      <c r="AC3" s="42">
        <v>48.96</v>
      </c>
      <c r="AD3" s="42">
        <v>4</v>
      </c>
      <c r="AE3" s="42">
        <v>24</v>
      </c>
      <c r="AF3" s="27">
        <f t="shared" si="7"/>
        <v>3</v>
      </c>
      <c r="AG3" s="42">
        <f>47/24</f>
        <v>1.9583333333333333</v>
      </c>
      <c r="AH3" s="39">
        <f t="shared" si="8"/>
        <v>46303</v>
      </c>
      <c r="AI3" s="42"/>
    </row>
    <row r="4" spans="1:35" x14ac:dyDescent="0.3">
      <c r="A4" s="45" t="s">
        <v>42</v>
      </c>
      <c r="B4" s="42" t="s">
        <v>65</v>
      </c>
      <c r="C4" s="42" t="s">
        <v>66</v>
      </c>
      <c r="D4" s="42" t="s">
        <v>67</v>
      </c>
      <c r="E4" s="42" t="s">
        <v>68</v>
      </c>
      <c r="F4" s="42">
        <v>11000</v>
      </c>
      <c r="G4" s="42">
        <v>9000</v>
      </c>
      <c r="H4" s="42"/>
      <c r="I4" s="42"/>
      <c r="J4" s="42"/>
      <c r="K4" s="42"/>
      <c r="L4" s="29">
        <f t="shared" si="0"/>
        <v>0</v>
      </c>
      <c r="M4" s="30">
        <v>0.77</v>
      </c>
      <c r="N4" s="44">
        <v>46246</v>
      </c>
      <c r="O4" s="44">
        <v>46246</v>
      </c>
      <c r="P4" s="44">
        <v>46294</v>
      </c>
      <c r="Q4" s="31"/>
      <c r="R4" s="32" t="str">
        <f t="shared" si="1"/>
        <v/>
      </c>
      <c r="S4" s="33"/>
      <c r="T4" s="34" t="str">
        <f t="shared" si="2"/>
        <v/>
      </c>
      <c r="U4" s="35"/>
      <c r="V4" s="36" t="str">
        <f t="shared" si="3"/>
        <v/>
      </c>
      <c r="W4" s="37"/>
      <c r="X4" s="38" t="str">
        <f t="shared" si="4"/>
        <v/>
      </c>
      <c r="Y4" s="38" t="str">
        <f t="shared" si="5"/>
        <v/>
      </c>
      <c r="Z4" s="28" t="str">
        <f t="shared" si="6"/>
        <v/>
      </c>
      <c r="AA4" s="27" t="s">
        <v>69</v>
      </c>
      <c r="AB4" s="42" t="s">
        <v>70</v>
      </c>
      <c r="AC4" s="42">
        <v>13.8</v>
      </c>
      <c r="AD4" s="42">
        <v>6</v>
      </c>
      <c r="AE4" s="42">
        <v>24</v>
      </c>
      <c r="AF4" s="27">
        <f t="shared" si="7"/>
        <v>8</v>
      </c>
      <c r="AG4" s="42"/>
      <c r="AH4" s="39">
        <f t="shared" si="8"/>
        <v>46304</v>
      </c>
      <c r="AI4" s="42"/>
    </row>
    <row r="5" spans="1:35" x14ac:dyDescent="0.3">
      <c r="A5" s="45" t="s">
        <v>41</v>
      </c>
      <c r="B5" s="42" t="s">
        <v>65</v>
      </c>
      <c r="C5" s="42" t="s">
        <v>71</v>
      </c>
      <c r="D5" s="42" t="s">
        <v>67</v>
      </c>
      <c r="E5" s="42" t="s">
        <v>35</v>
      </c>
      <c r="F5" s="42">
        <v>19000</v>
      </c>
      <c r="G5" s="42">
        <v>13065</v>
      </c>
      <c r="H5" s="42"/>
      <c r="I5" s="42"/>
      <c r="J5" s="42"/>
      <c r="K5" s="42"/>
      <c r="L5" s="29">
        <f t="shared" si="0"/>
        <v>0</v>
      </c>
      <c r="M5" s="30">
        <v>0.97</v>
      </c>
      <c r="N5" s="44">
        <v>46246</v>
      </c>
      <c r="O5" s="44">
        <v>46246</v>
      </c>
      <c r="P5" s="44">
        <v>46287</v>
      </c>
      <c r="Q5" s="31"/>
      <c r="R5" s="32" t="str">
        <f t="shared" si="1"/>
        <v/>
      </c>
      <c r="S5" s="33"/>
      <c r="T5" s="34" t="str">
        <f t="shared" si="2"/>
        <v/>
      </c>
      <c r="U5" s="35"/>
      <c r="V5" s="36" t="str">
        <f t="shared" si="3"/>
        <v/>
      </c>
      <c r="W5" s="37"/>
      <c r="X5" s="38" t="str">
        <f t="shared" si="4"/>
        <v/>
      </c>
      <c r="Y5" s="38" t="str">
        <f t="shared" si="5"/>
        <v/>
      </c>
      <c r="Z5" s="28" t="str">
        <f t="shared" si="6"/>
        <v/>
      </c>
      <c r="AA5" s="27" t="s">
        <v>78</v>
      </c>
      <c r="AB5" s="42" t="s">
        <v>70</v>
      </c>
      <c r="AC5" s="42">
        <v>13.56</v>
      </c>
      <c r="AD5" s="42">
        <v>8</v>
      </c>
      <c r="AE5" s="42">
        <v>10</v>
      </c>
      <c r="AF5" s="27">
        <f t="shared" si="7"/>
        <v>19</v>
      </c>
      <c r="AG5" s="42"/>
      <c r="AH5" s="39">
        <f t="shared" si="8"/>
        <v>46314</v>
      </c>
      <c r="AI5" s="42"/>
    </row>
    <row r="6" spans="1:35" x14ac:dyDescent="0.3">
      <c r="A6" s="45" t="s">
        <v>58</v>
      </c>
      <c r="B6" s="42" t="s">
        <v>65</v>
      </c>
      <c r="C6" s="42" t="s">
        <v>72</v>
      </c>
      <c r="D6" s="42" t="s">
        <v>67</v>
      </c>
      <c r="E6" s="42" t="s">
        <v>36</v>
      </c>
      <c r="F6" s="42">
        <v>19000</v>
      </c>
      <c r="G6" s="42">
        <v>4761</v>
      </c>
      <c r="H6" s="42"/>
      <c r="I6" s="42"/>
      <c r="J6" s="42"/>
      <c r="K6" s="42"/>
      <c r="L6" s="29">
        <f t="shared" si="0"/>
        <v>0</v>
      </c>
      <c r="M6" s="30">
        <v>0.91</v>
      </c>
      <c r="N6" s="44">
        <v>46246</v>
      </c>
      <c r="O6" s="44">
        <v>46246</v>
      </c>
      <c r="P6" s="44">
        <v>46302</v>
      </c>
      <c r="Q6" s="31"/>
      <c r="R6" s="32" t="str">
        <f t="shared" si="1"/>
        <v/>
      </c>
      <c r="S6" s="33"/>
      <c r="T6" s="34" t="str">
        <f t="shared" si="2"/>
        <v/>
      </c>
      <c r="U6" s="35"/>
      <c r="V6" s="36" t="str">
        <f t="shared" si="3"/>
        <v/>
      </c>
      <c r="W6" s="37"/>
      <c r="X6" s="38" t="str">
        <f t="shared" si="4"/>
        <v/>
      </c>
      <c r="Y6" s="38" t="str">
        <f t="shared" si="5"/>
        <v/>
      </c>
      <c r="Z6" s="28" t="str">
        <f t="shared" si="6"/>
        <v/>
      </c>
      <c r="AA6" s="27" t="s">
        <v>69</v>
      </c>
      <c r="AB6" s="42" t="s">
        <v>70</v>
      </c>
      <c r="AC6" s="42">
        <v>14.76</v>
      </c>
      <c r="AD6" s="42">
        <v>8</v>
      </c>
      <c r="AE6" s="42">
        <v>24</v>
      </c>
      <c r="AF6" s="27">
        <f t="shared" si="7"/>
        <v>8</v>
      </c>
      <c r="AG6" s="42"/>
      <c r="AH6" s="39">
        <f t="shared" si="8"/>
        <v>46314</v>
      </c>
      <c r="AI6" s="42"/>
    </row>
    <row r="7" spans="1:35" x14ac:dyDescent="0.3">
      <c r="A7" s="45" t="s">
        <v>74</v>
      </c>
      <c r="B7" s="42" t="s">
        <v>75</v>
      </c>
      <c r="C7" s="42" t="s">
        <v>76</v>
      </c>
      <c r="D7" s="42" t="s">
        <v>67</v>
      </c>
      <c r="E7" s="42" t="s">
        <v>77</v>
      </c>
      <c r="F7" s="42">
        <v>1840</v>
      </c>
      <c r="G7" s="42">
        <v>2216</v>
      </c>
      <c r="H7" s="42"/>
      <c r="I7" s="42"/>
      <c r="J7" s="42"/>
      <c r="K7" s="42"/>
      <c r="L7" s="29">
        <f t="shared" si="0"/>
        <v>0</v>
      </c>
      <c r="M7" s="30">
        <v>0.81</v>
      </c>
      <c r="N7" s="44">
        <v>46276</v>
      </c>
      <c r="O7" s="44">
        <v>46276</v>
      </c>
      <c r="P7" s="44">
        <v>46300</v>
      </c>
      <c r="Q7" s="31"/>
      <c r="R7" s="32" t="str">
        <f t="shared" si="1"/>
        <v/>
      </c>
      <c r="S7" s="33"/>
      <c r="T7" s="34" t="str">
        <f t="shared" si="2"/>
        <v/>
      </c>
      <c r="U7" s="35"/>
      <c r="V7" s="36" t="str">
        <f t="shared" si="3"/>
        <v/>
      </c>
      <c r="W7" s="37"/>
      <c r="X7" s="38" t="str">
        <f t="shared" si="4"/>
        <v/>
      </c>
      <c r="Y7" s="38" t="str">
        <f t="shared" si="5"/>
        <v/>
      </c>
      <c r="Z7" s="28" t="str">
        <f t="shared" si="6"/>
        <v/>
      </c>
      <c r="AA7" s="27" t="s">
        <v>78</v>
      </c>
      <c r="AB7" s="42" t="s">
        <v>53</v>
      </c>
      <c r="AC7" s="42">
        <v>19.559999999999999</v>
      </c>
      <c r="AD7" s="42">
        <v>4</v>
      </c>
      <c r="AE7" s="42">
        <v>10</v>
      </c>
      <c r="AF7" s="27">
        <f t="shared" si="7"/>
        <v>3</v>
      </c>
      <c r="AG7" s="42"/>
      <c r="AH7" s="39">
        <f t="shared" si="8"/>
        <v>46303</v>
      </c>
      <c r="AI7" s="42"/>
    </row>
    <row r="8" spans="1:35" x14ac:dyDescent="0.3">
      <c r="A8" s="45" t="s">
        <v>79</v>
      </c>
      <c r="B8" s="42" t="s">
        <v>80</v>
      </c>
      <c r="C8" s="42" t="s">
        <v>81</v>
      </c>
      <c r="D8" s="42" t="s">
        <v>31</v>
      </c>
      <c r="E8" s="42" t="s">
        <v>35</v>
      </c>
      <c r="F8" s="42">
        <v>36000</v>
      </c>
      <c r="G8" s="42">
        <v>1226</v>
      </c>
      <c r="H8" s="42"/>
      <c r="I8" s="42"/>
      <c r="J8" s="42"/>
      <c r="K8" s="42"/>
      <c r="L8" s="29">
        <f t="shared" si="0"/>
        <v>0</v>
      </c>
      <c r="M8" s="30">
        <v>0.85</v>
      </c>
      <c r="N8" s="44">
        <v>46283</v>
      </c>
      <c r="O8" s="44">
        <v>46284</v>
      </c>
      <c r="P8" s="44">
        <v>46302</v>
      </c>
      <c r="Q8" s="31"/>
      <c r="R8" s="32" t="str">
        <f t="shared" si="1"/>
        <v/>
      </c>
      <c r="S8" s="33"/>
      <c r="T8" s="34" t="str">
        <f t="shared" si="2"/>
        <v/>
      </c>
      <c r="U8" s="35"/>
      <c r="V8" s="36" t="str">
        <f t="shared" si="3"/>
        <v/>
      </c>
      <c r="W8" s="37"/>
      <c r="X8" s="38" t="str">
        <f t="shared" si="4"/>
        <v/>
      </c>
      <c r="Y8" s="38" t="str">
        <f t="shared" si="5"/>
        <v/>
      </c>
      <c r="Z8" s="28" t="str">
        <f t="shared" si="6"/>
        <v/>
      </c>
      <c r="AA8" s="27" t="s">
        <v>69</v>
      </c>
      <c r="AB8" s="42" t="s">
        <v>86</v>
      </c>
      <c r="AC8" s="42">
        <v>56.04</v>
      </c>
      <c r="AD8" s="42">
        <v>6</v>
      </c>
      <c r="AE8" s="42">
        <v>24</v>
      </c>
      <c r="AF8" s="27">
        <f t="shared" si="7"/>
        <v>6</v>
      </c>
      <c r="AG8" s="42"/>
      <c r="AH8" s="39">
        <f t="shared" si="8"/>
        <v>46310</v>
      </c>
      <c r="AI8" s="42"/>
    </row>
    <row r="9" spans="1:35" x14ac:dyDescent="0.3">
      <c r="A9" s="42" t="s">
        <v>83</v>
      </c>
      <c r="B9" s="42" t="s">
        <v>84</v>
      </c>
      <c r="C9" s="42" t="s">
        <v>85</v>
      </c>
      <c r="D9" s="42" t="s">
        <v>31</v>
      </c>
      <c r="E9" s="42"/>
      <c r="F9" s="42">
        <v>4000</v>
      </c>
      <c r="G9" s="42"/>
      <c r="H9" s="42"/>
      <c r="I9" s="42"/>
      <c r="J9" s="42"/>
      <c r="K9" s="42"/>
      <c r="L9" s="29" t="e">
        <f t="shared" si="0"/>
        <v>#DIV/0!</v>
      </c>
      <c r="M9" s="30"/>
      <c r="N9" s="44">
        <v>46255</v>
      </c>
      <c r="O9" s="44">
        <v>46255</v>
      </c>
      <c r="P9" s="44"/>
      <c r="Q9" s="31"/>
      <c r="R9" s="32" t="str">
        <f t="shared" si="1"/>
        <v/>
      </c>
      <c r="S9" s="33"/>
      <c r="T9" s="34" t="str">
        <f t="shared" si="2"/>
        <v/>
      </c>
      <c r="U9" s="35"/>
      <c r="V9" s="36" t="str">
        <f t="shared" si="3"/>
        <v/>
      </c>
      <c r="W9" s="37"/>
      <c r="X9" s="38" t="str">
        <f t="shared" ref="X9:X27" si="9">IF(W9="","",NETWORKDAYS(U9,W9))</f>
        <v/>
      </c>
      <c r="Y9" s="38" t="str">
        <f t="shared" si="5"/>
        <v/>
      </c>
      <c r="Z9" s="28" t="str">
        <f t="shared" si="6"/>
        <v/>
      </c>
      <c r="AA9" s="27" t="s">
        <v>82</v>
      </c>
      <c r="AB9" s="42" t="s">
        <v>86</v>
      </c>
      <c r="AC9" s="42"/>
      <c r="AD9" s="42">
        <v>4</v>
      </c>
      <c r="AE9" s="42"/>
      <c r="AF9" s="27" t="e">
        <f t="shared" ref="AF9:AF32" si="10">ROUNDUP((F9*1/(AC9*AD9*M9*AE9)),0)</f>
        <v>#DIV/0!</v>
      </c>
      <c r="AG9" s="42"/>
      <c r="AH9" s="39" t="e">
        <f t="shared" si="8"/>
        <v>#DIV/0!</v>
      </c>
      <c r="AI9" s="42"/>
    </row>
    <row r="10" spans="1:35" x14ac:dyDescent="0.3">
      <c r="A10" s="45" t="s">
        <v>87</v>
      </c>
      <c r="B10" s="42" t="s">
        <v>88</v>
      </c>
      <c r="C10" s="42" t="s">
        <v>55</v>
      </c>
      <c r="D10" s="42" t="s">
        <v>31</v>
      </c>
      <c r="E10" s="42"/>
      <c r="F10" s="42">
        <v>4000</v>
      </c>
      <c r="G10" s="42"/>
      <c r="H10" s="42"/>
      <c r="I10" s="42"/>
      <c r="J10" s="42"/>
      <c r="K10" s="42"/>
      <c r="L10" s="29" t="e">
        <f t="shared" si="0"/>
        <v>#DIV/0!</v>
      </c>
      <c r="M10" s="30"/>
      <c r="N10" s="44">
        <v>46276</v>
      </c>
      <c r="O10" s="44">
        <v>46276</v>
      </c>
      <c r="P10" s="44"/>
      <c r="Q10" s="31"/>
      <c r="R10" s="32" t="str">
        <f t="shared" si="1"/>
        <v/>
      </c>
      <c r="S10" s="33"/>
      <c r="T10" s="34" t="str">
        <f t="shared" si="2"/>
        <v/>
      </c>
      <c r="U10" s="35"/>
      <c r="V10" s="36" t="str">
        <f t="shared" si="3"/>
        <v/>
      </c>
      <c r="W10" s="37"/>
      <c r="X10" s="38" t="str">
        <f t="shared" si="9"/>
        <v/>
      </c>
      <c r="Y10" s="38" t="str">
        <f t="shared" si="5"/>
        <v/>
      </c>
      <c r="Z10" s="28" t="str">
        <f t="shared" si="6"/>
        <v/>
      </c>
      <c r="AA10" s="27" t="s">
        <v>108</v>
      </c>
      <c r="AB10" s="42" t="s">
        <v>53</v>
      </c>
      <c r="AC10" s="42"/>
      <c r="AD10" s="42">
        <v>2</v>
      </c>
      <c r="AE10" s="42"/>
      <c r="AF10" s="27" t="e">
        <f t="shared" si="10"/>
        <v>#DIV/0!</v>
      </c>
      <c r="AG10" s="42"/>
      <c r="AH10" s="39" t="e">
        <f t="shared" si="8"/>
        <v>#DIV/0!</v>
      </c>
      <c r="AI10" s="42"/>
    </row>
    <row r="11" spans="1:35" x14ac:dyDescent="0.3">
      <c r="A11" s="45" t="s">
        <v>89</v>
      </c>
      <c r="B11" s="42" t="s">
        <v>90</v>
      </c>
      <c r="C11" s="42" t="s">
        <v>91</v>
      </c>
      <c r="D11" s="42" t="s">
        <v>31</v>
      </c>
      <c r="E11" s="42" t="s">
        <v>33</v>
      </c>
      <c r="F11" s="42">
        <v>800</v>
      </c>
      <c r="G11" s="42">
        <v>725</v>
      </c>
      <c r="H11" s="42">
        <v>700</v>
      </c>
      <c r="I11" s="42"/>
      <c r="J11" s="42">
        <v>3</v>
      </c>
      <c r="K11" s="42">
        <v>0.08</v>
      </c>
      <c r="L11" s="29">
        <f t="shared" si="0"/>
        <v>4.1379310344827587E-3</v>
      </c>
      <c r="M11" s="30">
        <v>0.76</v>
      </c>
      <c r="N11" s="44">
        <v>46276</v>
      </c>
      <c r="O11" s="44">
        <v>46276</v>
      </c>
      <c r="P11" s="44">
        <v>46297</v>
      </c>
      <c r="Q11" s="31"/>
      <c r="R11" s="32" t="str">
        <f t="shared" si="1"/>
        <v/>
      </c>
      <c r="S11" s="33">
        <v>46297</v>
      </c>
      <c r="T11" s="34">
        <f t="shared" si="2"/>
        <v>33070</v>
      </c>
      <c r="U11" s="35">
        <v>46300</v>
      </c>
      <c r="V11" s="36">
        <f t="shared" si="3"/>
        <v>2</v>
      </c>
      <c r="W11" s="37">
        <v>46301</v>
      </c>
      <c r="X11" s="38">
        <f t="shared" si="9"/>
        <v>2</v>
      </c>
      <c r="Y11" s="38">
        <f t="shared" si="5"/>
        <v>18</v>
      </c>
      <c r="Z11" s="28" t="str">
        <f t="shared" si="6"/>
        <v>EFICIENTE</v>
      </c>
      <c r="AA11" s="27" t="s">
        <v>78</v>
      </c>
      <c r="AB11" s="42" t="s">
        <v>92</v>
      </c>
      <c r="AC11" s="42">
        <v>83.76</v>
      </c>
      <c r="AD11" s="42">
        <v>2</v>
      </c>
      <c r="AE11" s="42">
        <v>24</v>
      </c>
      <c r="AF11" s="27">
        <f t="shared" si="10"/>
        <v>1</v>
      </c>
      <c r="AG11" s="42">
        <f>3/24</f>
        <v>0.125</v>
      </c>
      <c r="AH11" s="39">
        <f t="shared" si="8"/>
        <v>46300</v>
      </c>
      <c r="AI11" s="42"/>
    </row>
    <row r="12" spans="1:35" x14ac:dyDescent="0.3">
      <c r="A12" s="45" t="s">
        <v>93</v>
      </c>
      <c r="B12" s="42" t="s">
        <v>94</v>
      </c>
      <c r="C12" s="42" t="s">
        <v>95</v>
      </c>
      <c r="D12" s="42" t="s">
        <v>67</v>
      </c>
      <c r="E12" s="42" t="s">
        <v>35</v>
      </c>
      <c r="F12" s="42">
        <v>960</v>
      </c>
      <c r="G12" s="42"/>
      <c r="H12" s="42"/>
      <c r="I12" s="42"/>
      <c r="J12" s="42"/>
      <c r="K12" s="42"/>
      <c r="L12" s="29" t="e">
        <f t="shared" si="0"/>
        <v>#DIV/0!</v>
      </c>
      <c r="M12" s="30"/>
      <c r="N12" s="44">
        <v>46273</v>
      </c>
      <c r="O12" s="44">
        <v>46274</v>
      </c>
      <c r="P12" s="44"/>
      <c r="Q12" s="31"/>
      <c r="R12" s="32" t="str">
        <f t="shared" si="1"/>
        <v/>
      </c>
      <c r="S12" s="33"/>
      <c r="T12" s="34" t="str">
        <f t="shared" si="2"/>
        <v/>
      </c>
      <c r="U12" s="35"/>
      <c r="V12" s="36" t="str">
        <f t="shared" si="3"/>
        <v/>
      </c>
      <c r="W12" s="37"/>
      <c r="X12" s="38" t="str">
        <f t="shared" si="9"/>
        <v/>
      </c>
      <c r="Y12" s="38" t="str">
        <f t="shared" si="5"/>
        <v/>
      </c>
      <c r="Z12" s="28" t="str">
        <f t="shared" si="6"/>
        <v/>
      </c>
      <c r="AA12" s="27" t="s">
        <v>73</v>
      </c>
      <c r="AB12" s="42" t="s">
        <v>96</v>
      </c>
      <c r="AC12" s="42"/>
      <c r="AD12" s="42"/>
      <c r="AE12" s="42"/>
      <c r="AF12" s="27" t="e">
        <f t="shared" si="10"/>
        <v>#DIV/0!</v>
      </c>
      <c r="AG12" s="42"/>
      <c r="AH12" s="39" t="e">
        <f t="shared" si="8"/>
        <v>#DIV/0!</v>
      </c>
      <c r="AI12" s="42"/>
    </row>
    <row r="13" spans="1:35" x14ac:dyDescent="0.3">
      <c r="A13" s="58" t="s">
        <v>57</v>
      </c>
      <c r="B13" s="42" t="s">
        <v>97</v>
      </c>
      <c r="C13" s="42" t="s">
        <v>98</v>
      </c>
      <c r="D13" s="42" t="s">
        <v>67</v>
      </c>
      <c r="E13" s="42" t="s">
        <v>32</v>
      </c>
      <c r="F13" s="42">
        <v>4048</v>
      </c>
      <c r="G13" s="42">
        <v>866</v>
      </c>
      <c r="H13" s="42"/>
      <c r="I13" s="42"/>
      <c r="J13" s="42"/>
      <c r="K13" s="42"/>
      <c r="L13" s="29">
        <f t="shared" si="0"/>
        <v>0</v>
      </c>
      <c r="M13" s="30">
        <v>0.49</v>
      </c>
      <c r="N13" s="44">
        <v>46281</v>
      </c>
      <c r="O13" s="44">
        <v>46281</v>
      </c>
      <c r="P13" s="44">
        <v>46303</v>
      </c>
      <c r="Q13" s="31"/>
      <c r="R13" s="32" t="str">
        <f t="shared" si="1"/>
        <v/>
      </c>
      <c r="S13" s="33"/>
      <c r="T13" s="34" t="str">
        <f t="shared" si="2"/>
        <v/>
      </c>
      <c r="U13" s="35"/>
      <c r="V13" s="36" t="str">
        <f t="shared" si="3"/>
        <v/>
      </c>
      <c r="W13" s="37"/>
      <c r="X13" s="38" t="str">
        <f t="shared" si="9"/>
        <v/>
      </c>
      <c r="Y13" s="38" t="str">
        <f t="shared" si="5"/>
        <v/>
      </c>
      <c r="Z13" s="28" t="str">
        <f t="shared" si="6"/>
        <v/>
      </c>
      <c r="AA13" s="27" t="s">
        <v>69</v>
      </c>
      <c r="AB13" s="42" t="s">
        <v>99</v>
      </c>
      <c r="AC13" s="42">
        <v>18.72</v>
      </c>
      <c r="AD13" s="42">
        <v>4</v>
      </c>
      <c r="AE13" s="42">
        <v>24</v>
      </c>
      <c r="AF13" s="27">
        <f t="shared" si="10"/>
        <v>5</v>
      </c>
      <c r="AG13" s="42"/>
      <c r="AH13" s="39">
        <f t="shared" si="8"/>
        <v>46310</v>
      </c>
      <c r="AI13" s="42"/>
    </row>
    <row r="14" spans="1:35" x14ac:dyDescent="0.3">
      <c r="A14" s="58" t="s">
        <v>100</v>
      </c>
      <c r="B14" s="42" t="s">
        <v>101</v>
      </c>
      <c r="C14" s="42" t="s">
        <v>72</v>
      </c>
      <c r="D14" s="42" t="s">
        <v>102</v>
      </c>
      <c r="E14" s="42"/>
      <c r="F14" s="42">
        <v>21600</v>
      </c>
      <c r="G14" s="42"/>
      <c r="H14" s="42"/>
      <c r="I14" s="42"/>
      <c r="J14" s="42"/>
      <c r="K14" s="42"/>
      <c r="L14" s="29" t="e">
        <f t="shared" si="0"/>
        <v>#DIV/0!</v>
      </c>
      <c r="M14" s="30"/>
      <c r="N14" s="44">
        <v>46295</v>
      </c>
      <c r="O14" s="44">
        <v>46295</v>
      </c>
      <c r="P14" s="44"/>
      <c r="Q14" s="31"/>
      <c r="R14" s="32" t="str">
        <f t="shared" si="1"/>
        <v/>
      </c>
      <c r="S14" s="33"/>
      <c r="T14" s="34" t="str">
        <f t="shared" si="2"/>
        <v/>
      </c>
      <c r="U14" s="35"/>
      <c r="V14" s="36" t="str">
        <f t="shared" si="3"/>
        <v/>
      </c>
      <c r="W14" s="37"/>
      <c r="X14" s="38" t="str">
        <f t="shared" si="9"/>
        <v/>
      </c>
      <c r="Y14" s="38" t="str">
        <f t="shared" si="5"/>
        <v/>
      </c>
      <c r="Z14" s="28" t="str">
        <f t="shared" si="6"/>
        <v/>
      </c>
      <c r="AA14" s="27" t="s">
        <v>103</v>
      </c>
      <c r="AB14" s="42" t="s">
        <v>104</v>
      </c>
      <c r="AC14" s="42"/>
      <c r="AD14" s="42"/>
      <c r="AE14" s="42"/>
      <c r="AF14" s="27" t="e">
        <f t="shared" si="10"/>
        <v>#DIV/0!</v>
      </c>
      <c r="AG14" s="42"/>
      <c r="AH14" s="39" t="e">
        <f t="shared" si="8"/>
        <v>#DIV/0!</v>
      </c>
      <c r="AI14" s="42"/>
    </row>
    <row r="15" spans="1:35" x14ac:dyDescent="0.3">
      <c r="A15" s="59" t="s">
        <v>105</v>
      </c>
      <c r="B15" s="42" t="s">
        <v>106</v>
      </c>
      <c r="C15" s="42" t="s">
        <v>107</v>
      </c>
      <c r="D15" s="42" t="s">
        <v>67</v>
      </c>
      <c r="E15" s="42" t="s">
        <v>36</v>
      </c>
      <c r="F15" s="42">
        <f>1380+690</f>
        <v>2070</v>
      </c>
      <c r="G15" s="42"/>
      <c r="H15" s="42"/>
      <c r="I15" s="42"/>
      <c r="J15" s="42"/>
      <c r="K15" s="42"/>
      <c r="L15" s="29" t="e">
        <f t="shared" si="0"/>
        <v>#DIV/0!</v>
      </c>
      <c r="M15" s="30"/>
      <c r="N15" s="44">
        <v>46281</v>
      </c>
      <c r="O15" s="44">
        <v>46281</v>
      </c>
      <c r="P15" s="44"/>
      <c r="Q15" s="31"/>
      <c r="R15" s="32" t="str">
        <f t="shared" si="1"/>
        <v/>
      </c>
      <c r="S15" s="33"/>
      <c r="T15" s="34" t="str">
        <f t="shared" si="2"/>
        <v/>
      </c>
      <c r="U15" s="35"/>
      <c r="V15" s="36" t="str">
        <f t="shared" si="3"/>
        <v/>
      </c>
      <c r="W15" s="37"/>
      <c r="X15" s="38" t="str">
        <f t="shared" si="9"/>
        <v/>
      </c>
      <c r="Y15" s="38" t="str">
        <f t="shared" si="5"/>
        <v/>
      </c>
      <c r="Z15" s="28" t="str">
        <f t="shared" si="6"/>
        <v/>
      </c>
      <c r="AA15" s="27" t="s">
        <v>108</v>
      </c>
      <c r="AB15" s="42" t="s">
        <v>53</v>
      </c>
      <c r="AC15" s="42"/>
      <c r="AD15" s="42">
        <v>4</v>
      </c>
      <c r="AE15" s="42"/>
      <c r="AF15" s="27" t="e">
        <f t="shared" si="10"/>
        <v>#DIV/0!</v>
      </c>
      <c r="AG15" s="42"/>
      <c r="AH15" s="39" t="e">
        <f>WORKDAY.INTL(P15,AF15,1,0)</f>
        <v>#DIV/0!</v>
      </c>
      <c r="AI15" s="42"/>
    </row>
    <row r="16" spans="1:35" x14ac:dyDescent="0.3">
      <c r="A16" s="59" t="s">
        <v>60</v>
      </c>
      <c r="B16" s="42" t="s">
        <v>110</v>
      </c>
      <c r="C16" s="42" t="s">
        <v>111</v>
      </c>
      <c r="D16" s="42" t="s">
        <v>31</v>
      </c>
      <c r="E16" s="42" t="s">
        <v>36</v>
      </c>
      <c r="F16" s="42">
        <v>4000</v>
      </c>
      <c r="G16" s="42">
        <v>3486</v>
      </c>
      <c r="H16" s="42"/>
      <c r="I16" s="42"/>
      <c r="J16" s="42"/>
      <c r="K16" s="42"/>
      <c r="L16" s="29">
        <f t="shared" si="0"/>
        <v>0</v>
      </c>
      <c r="M16" s="30">
        <v>0.76</v>
      </c>
      <c r="N16" s="44">
        <v>46281</v>
      </c>
      <c r="O16" s="44">
        <v>46281</v>
      </c>
      <c r="P16" s="44">
        <v>46300</v>
      </c>
      <c r="Q16" s="31"/>
      <c r="R16" s="32" t="str">
        <f t="shared" si="1"/>
        <v/>
      </c>
      <c r="S16" s="33">
        <v>46300</v>
      </c>
      <c r="T16" s="34">
        <f t="shared" si="2"/>
        <v>33071</v>
      </c>
      <c r="U16" s="35"/>
      <c r="V16" s="36" t="str">
        <f t="shared" si="3"/>
        <v/>
      </c>
      <c r="W16" s="37"/>
      <c r="X16" s="38" t="str">
        <f t="shared" si="9"/>
        <v/>
      </c>
      <c r="Y16" s="38" t="str">
        <f t="shared" si="5"/>
        <v/>
      </c>
      <c r="Z16" s="28" t="str">
        <f t="shared" si="6"/>
        <v/>
      </c>
      <c r="AA16" s="27" t="s">
        <v>78</v>
      </c>
      <c r="AB16" s="42" t="s">
        <v>112</v>
      </c>
      <c r="AC16" s="42">
        <v>66.84</v>
      </c>
      <c r="AD16" s="42">
        <v>6</v>
      </c>
      <c r="AE16" s="42">
        <v>24</v>
      </c>
      <c r="AF16" s="27">
        <f t="shared" si="10"/>
        <v>1</v>
      </c>
      <c r="AG16" s="42"/>
      <c r="AH16" s="39">
        <f t="shared" si="8"/>
        <v>46301</v>
      </c>
      <c r="AI16" s="42"/>
    </row>
    <row r="17" spans="1:35" x14ac:dyDescent="0.3">
      <c r="A17" s="45" t="s">
        <v>113</v>
      </c>
      <c r="B17" s="42" t="s">
        <v>109</v>
      </c>
      <c r="C17" s="42" t="s">
        <v>111</v>
      </c>
      <c r="D17" s="42" t="s">
        <v>31</v>
      </c>
      <c r="E17" s="42"/>
      <c r="F17" s="42">
        <v>3220</v>
      </c>
      <c r="G17" s="42"/>
      <c r="H17" s="42"/>
      <c r="I17" s="42"/>
      <c r="J17" s="42"/>
      <c r="K17" s="42"/>
      <c r="L17" s="29" t="e">
        <f t="shared" si="0"/>
        <v>#DIV/0!</v>
      </c>
      <c r="M17" s="30"/>
      <c r="N17" s="44">
        <v>46300</v>
      </c>
      <c r="O17" s="44">
        <v>46300</v>
      </c>
      <c r="P17" s="44"/>
      <c r="Q17" s="31"/>
      <c r="R17" s="32" t="str">
        <f t="shared" si="1"/>
        <v/>
      </c>
      <c r="S17" s="33"/>
      <c r="T17" s="34" t="str">
        <f t="shared" si="2"/>
        <v/>
      </c>
      <c r="U17" s="35"/>
      <c r="V17" s="36" t="str">
        <f t="shared" si="3"/>
        <v/>
      </c>
      <c r="W17" s="37"/>
      <c r="X17" s="38" t="str">
        <f t="shared" si="9"/>
        <v/>
      </c>
      <c r="Y17" s="38" t="str">
        <f t="shared" si="5"/>
        <v/>
      </c>
      <c r="Z17" s="28" t="str">
        <f t="shared" si="6"/>
        <v/>
      </c>
      <c r="AA17" s="27" t="s">
        <v>108</v>
      </c>
      <c r="AB17" s="42" t="s">
        <v>112</v>
      </c>
      <c r="AC17" s="42"/>
      <c r="AD17" s="42"/>
      <c r="AE17" s="42"/>
      <c r="AF17" s="27" t="e">
        <f t="shared" si="10"/>
        <v>#DIV/0!</v>
      </c>
      <c r="AG17" s="42"/>
      <c r="AH17" s="39" t="e">
        <f t="shared" si="8"/>
        <v>#DIV/0!</v>
      </c>
      <c r="AI17" s="42"/>
    </row>
    <row r="18" spans="1:35" x14ac:dyDescent="0.3">
      <c r="A18" s="42" t="s">
        <v>83</v>
      </c>
      <c r="B18" s="42" t="s">
        <v>114</v>
      </c>
      <c r="C18" s="42" t="s">
        <v>85</v>
      </c>
      <c r="D18" s="42" t="s">
        <v>31</v>
      </c>
      <c r="E18" s="42"/>
      <c r="F18" s="42">
        <v>4000</v>
      </c>
      <c r="G18" s="42"/>
      <c r="H18" s="42"/>
      <c r="I18" s="42"/>
      <c r="J18" s="42"/>
      <c r="K18" s="42"/>
      <c r="L18" s="29" t="e">
        <f t="shared" si="0"/>
        <v>#DIV/0!</v>
      </c>
      <c r="M18" s="30"/>
      <c r="N18" s="44">
        <v>46255</v>
      </c>
      <c r="O18" s="44">
        <v>46255</v>
      </c>
      <c r="P18" s="44"/>
      <c r="Q18" s="31"/>
      <c r="R18" s="32" t="str">
        <f t="shared" si="1"/>
        <v/>
      </c>
      <c r="S18" s="33"/>
      <c r="T18" s="34" t="str">
        <f t="shared" si="2"/>
        <v/>
      </c>
      <c r="U18" s="35"/>
      <c r="V18" s="36" t="str">
        <f t="shared" si="3"/>
        <v/>
      </c>
      <c r="W18" s="37"/>
      <c r="X18" s="38" t="str">
        <f t="shared" si="9"/>
        <v/>
      </c>
      <c r="Y18" s="38" t="str">
        <f t="shared" si="5"/>
        <v/>
      </c>
      <c r="Z18" s="28" t="str">
        <f t="shared" si="6"/>
        <v/>
      </c>
      <c r="AA18" s="27" t="s">
        <v>103</v>
      </c>
      <c r="AB18" s="42" t="s">
        <v>86</v>
      </c>
      <c r="AC18" s="42"/>
      <c r="AD18" s="42">
        <v>4</v>
      </c>
      <c r="AE18" s="42"/>
      <c r="AF18" s="27" t="e">
        <f t="shared" si="10"/>
        <v>#DIV/0!</v>
      </c>
      <c r="AG18" s="42"/>
      <c r="AH18" s="39" t="e">
        <f t="shared" si="8"/>
        <v>#DIV/0!</v>
      </c>
      <c r="AI18" s="42"/>
    </row>
    <row r="19" spans="1:35" x14ac:dyDescent="0.3">
      <c r="A19" s="45" t="s">
        <v>115</v>
      </c>
      <c r="B19" s="42" t="s">
        <v>44</v>
      </c>
      <c r="C19" s="42" t="s">
        <v>37</v>
      </c>
      <c r="D19" s="42" t="s">
        <v>31</v>
      </c>
      <c r="E19" s="42" t="s">
        <v>52</v>
      </c>
      <c r="F19" s="42">
        <v>18000</v>
      </c>
      <c r="G19" s="42">
        <v>16584</v>
      </c>
      <c r="H19" s="42"/>
      <c r="I19" s="42"/>
      <c r="J19" s="42"/>
      <c r="K19" s="42"/>
      <c r="L19" s="29">
        <f t="shared" si="0"/>
        <v>0</v>
      </c>
      <c r="M19" s="30">
        <v>0.88</v>
      </c>
      <c r="N19" s="44">
        <v>46276</v>
      </c>
      <c r="O19" s="44">
        <v>46276</v>
      </c>
      <c r="P19" s="44">
        <v>46302</v>
      </c>
      <c r="Q19" s="31"/>
      <c r="R19" s="32" t="str">
        <f t="shared" si="1"/>
        <v/>
      </c>
      <c r="S19" s="33">
        <v>46303</v>
      </c>
      <c r="T19" s="34">
        <f t="shared" si="2"/>
        <v>33074</v>
      </c>
      <c r="U19" s="35"/>
      <c r="V19" s="36" t="str">
        <f t="shared" si="3"/>
        <v/>
      </c>
      <c r="W19" s="37"/>
      <c r="X19" s="38" t="str">
        <f t="shared" si="9"/>
        <v/>
      </c>
      <c r="Y19" s="38" t="str">
        <f t="shared" si="5"/>
        <v/>
      </c>
      <c r="Z19" s="28" t="str">
        <f t="shared" si="6"/>
        <v/>
      </c>
      <c r="AA19" s="27" t="s">
        <v>78</v>
      </c>
      <c r="AB19" s="42" t="s">
        <v>53</v>
      </c>
      <c r="AC19" s="42">
        <v>90</v>
      </c>
      <c r="AD19" s="42">
        <v>6</v>
      </c>
      <c r="AE19" s="42">
        <v>24</v>
      </c>
      <c r="AF19" s="27">
        <f t="shared" si="10"/>
        <v>2</v>
      </c>
      <c r="AG19" s="42"/>
      <c r="AH19" s="39">
        <f t="shared" si="8"/>
        <v>46304</v>
      </c>
      <c r="AI19" s="42"/>
    </row>
    <row r="20" spans="1:35" x14ac:dyDescent="0.3">
      <c r="A20" s="42" t="s">
        <v>116</v>
      </c>
      <c r="B20" s="42" t="s">
        <v>117</v>
      </c>
      <c r="C20" s="42" t="s">
        <v>118</v>
      </c>
      <c r="D20" s="42" t="s">
        <v>31</v>
      </c>
      <c r="E20" s="42"/>
      <c r="F20" s="42">
        <v>2500</v>
      </c>
      <c r="G20" s="42"/>
      <c r="H20" s="42"/>
      <c r="I20" s="42"/>
      <c r="J20" s="42"/>
      <c r="K20" s="42"/>
      <c r="L20" s="29" t="e">
        <f t="shared" si="0"/>
        <v>#DIV/0!</v>
      </c>
      <c r="M20" s="30"/>
      <c r="N20" s="44">
        <v>46295</v>
      </c>
      <c r="O20" s="44">
        <v>46295</v>
      </c>
      <c r="P20" s="44"/>
      <c r="Q20" s="31"/>
      <c r="R20" s="32" t="str">
        <f t="shared" si="1"/>
        <v/>
      </c>
      <c r="S20" s="33"/>
      <c r="T20" s="34" t="str">
        <f t="shared" si="2"/>
        <v/>
      </c>
      <c r="U20" s="35"/>
      <c r="V20" s="36" t="str">
        <f t="shared" si="3"/>
        <v/>
      </c>
      <c r="W20" s="37"/>
      <c r="X20" s="38" t="str">
        <f t="shared" si="9"/>
        <v/>
      </c>
      <c r="Y20" s="38" t="str">
        <f t="shared" si="5"/>
        <v/>
      </c>
      <c r="Z20" s="28" t="str">
        <f t="shared" si="6"/>
        <v/>
      </c>
      <c r="AA20" s="27" t="s">
        <v>82</v>
      </c>
      <c r="AB20" s="42" t="s">
        <v>119</v>
      </c>
      <c r="AC20" s="42"/>
      <c r="AD20" s="42">
        <v>5</v>
      </c>
      <c r="AE20" s="42"/>
      <c r="AF20" s="27" t="e">
        <f t="shared" si="10"/>
        <v>#DIV/0!</v>
      </c>
      <c r="AG20" s="42"/>
      <c r="AH20" s="39" t="e">
        <f t="shared" si="8"/>
        <v>#DIV/0!</v>
      </c>
      <c r="AI20" s="42"/>
    </row>
    <row r="21" spans="1:35" x14ac:dyDescent="0.3">
      <c r="A21" s="42" t="s">
        <v>120</v>
      </c>
      <c r="B21" s="42" t="s">
        <v>121</v>
      </c>
      <c r="C21" s="42" t="s">
        <v>91</v>
      </c>
      <c r="D21" s="42" t="s">
        <v>31</v>
      </c>
      <c r="E21" s="42"/>
      <c r="F21" s="42">
        <v>12000</v>
      </c>
      <c r="G21" s="42"/>
      <c r="H21" s="42"/>
      <c r="I21" s="42"/>
      <c r="J21" s="42"/>
      <c r="K21" s="42"/>
      <c r="L21" s="29" t="e">
        <f t="shared" si="0"/>
        <v>#DIV/0!</v>
      </c>
      <c r="M21" s="30"/>
      <c r="N21" s="44">
        <v>46289</v>
      </c>
      <c r="O21" s="44">
        <v>46289</v>
      </c>
      <c r="P21" s="44"/>
      <c r="Q21" s="31"/>
      <c r="R21" s="32" t="str">
        <f t="shared" si="1"/>
        <v/>
      </c>
      <c r="S21" s="33"/>
      <c r="T21" s="34" t="str">
        <f t="shared" si="2"/>
        <v/>
      </c>
      <c r="U21" s="35"/>
      <c r="V21" s="36" t="str">
        <f t="shared" si="3"/>
        <v/>
      </c>
      <c r="W21" s="37"/>
      <c r="X21" s="38" t="str">
        <f t="shared" si="9"/>
        <v/>
      </c>
      <c r="Y21" s="38" t="str">
        <f t="shared" si="5"/>
        <v/>
      </c>
      <c r="Z21" s="28" t="str">
        <f t="shared" si="6"/>
        <v/>
      </c>
      <c r="AA21" s="27" t="s">
        <v>82</v>
      </c>
      <c r="AB21" s="42" t="s">
        <v>122</v>
      </c>
      <c r="AC21" s="42"/>
      <c r="AD21" s="42"/>
      <c r="AE21" s="42"/>
      <c r="AF21" s="27" t="e">
        <f t="shared" si="10"/>
        <v>#DIV/0!</v>
      </c>
      <c r="AG21" s="42"/>
      <c r="AH21" s="39" t="e">
        <f t="shared" si="8"/>
        <v>#DIV/0!</v>
      </c>
      <c r="AI21" s="42"/>
    </row>
    <row r="22" spans="1:35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29" t="e">
        <f t="shared" si="0"/>
        <v>#DIV/0!</v>
      </c>
      <c r="M22" s="30"/>
      <c r="N22" s="44"/>
      <c r="O22" s="44"/>
      <c r="P22" s="44"/>
      <c r="Q22" s="31"/>
      <c r="R22" s="32" t="str">
        <f t="shared" si="1"/>
        <v/>
      </c>
      <c r="S22" s="33"/>
      <c r="T22" s="34" t="str">
        <f t="shared" si="2"/>
        <v/>
      </c>
      <c r="U22" s="35"/>
      <c r="V22" s="36" t="str">
        <f t="shared" si="3"/>
        <v/>
      </c>
      <c r="W22" s="37"/>
      <c r="X22" s="38" t="str">
        <f t="shared" si="9"/>
        <v/>
      </c>
      <c r="Y22" s="38" t="str">
        <f t="shared" si="5"/>
        <v/>
      </c>
      <c r="Z22" s="28" t="str">
        <f t="shared" si="6"/>
        <v/>
      </c>
      <c r="AA22" s="27"/>
      <c r="AB22" s="42"/>
      <c r="AC22" s="42"/>
      <c r="AD22" s="42"/>
      <c r="AE22" s="42"/>
      <c r="AF22" s="27" t="e">
        <f t="shared" si="10"/>
        <v>#DIV/0!</v>
      </c>
      <c r="AG22" s="42"/>
      <c r="AH22" s="39" t="e">
        <f t="shared" si="8"/>
        <v>#DIV/0!</v>
      </c>
      <c r="AI22" s="42"/>
    </row>
    <row r="23" spans="1:35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29" t="e">
        <f t="shared" si="0"/>
        <v>#DIV/0!</v>
      </c>
      <c r="M23" s="30"/>
      <c r="N23" s="44"/>
      <c r="O23" s="44"/>
      <c r="P23" s="44"/>
      <c r="Q23" s="31"/>
      <c r="R23" s="32" t="str">
        <f t="shared" si="1"/>
        <v/>
      </c>
      <c r="S23" s="33"/>
      <c r="T23" s="34" t="str">
        <f t="shared" si="2"/>
        <v/>
      </c>
      <c r="U23" s="35"/>
      <c r="V23" s="36" t="str">
        <f t="shared" si="3"/>
        <v/>
      </c>
      <c r="W23" s="37"/>
      <c r="X23" s="38" t="str">
        <f t="shared" si="9"/>
        <v/>
      </c>
      <c r="Y23" s="38" t="str">
        <f t="shared" si="5"/>
        <v/>
      </c>
      <c r="Z23" s="28" t="str">
        <f t="shared" si="6"/>
        <v/>
      </c>
      <c r="AA23" s="27"/>
      <c r="AB23" s="42"/>
      <c r="AC23" s="42"/>
      <c r="AD23" s="42"/>
      <c r="AE23" s="42"/>
      <c r="AF23" s="27" t="e">
        <f t="shared" si="10"/>
        <v>#DIV/0!</v>
      </c>
      <c r="AG23" s="42"/>
      <c r="AH23" s="39" t="e">
        <f t="shared" si="8"/>
        <v>#DIV/0!</v>
      </c>
      <c r="AI23" s="42"/>
    </row>
    <row r="24" spans="1:35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29" t="e">
        <f t="shared" si="0"/>
        <v>#DIV/0!</v>
      </c>
      <c r="M24" s="30"/>
      <c r="N24" s="44"/>
      <c r="O24" s="44"/>
      <c r="P24" s="44"/>
      <c r="Q24" s="31"/>
      <c r="R24" s="32" t="str">
        <f t="shared" si="1"/>
        <v/>
      </c>
      <c r="S24" s="33"/>
      <c r="T24" s="34" t="str">
        <f t="shared" si="2"/>
        <v/>
      </c>
      <c r="U24" s="35"/>
      <c r="V24" s="36" t="str">
        <f t="shared" si="3"/>
        <v/>
      </c>
      <c r="W24" s="37"/>
      <c r="X24" s="38" t="str">
        <f t="shared" si="9"/>
        <v/>
      </c>
      <c r="Y24" s="38" t="str">
        <f t="shared" si="5"/>
        <v/>
      </c>
      <c r="Z24" s="28" t="str">
        <f t="shared" si="6"/>
        <v/>
      </c>
      <c r="AA24" s="27"/>
      <c r="AB24" s="42"/>
      <c r="AC24" s="42"/>
      <c r="AD24" s="42"/>
      <c r="AE24" s="42"/>
      <c r="AF24" s="27" t="e">
        <f t="shared" si="10"/>
        <v>#DIV/0!</v>
      </c>
      <c r="AG24" s="42"/>
      <c r="AH24" s="39" t="e">
        <f t="shared" si="8"/>
        <v>#DIV/0!</v>
      </c>
      <c r="AI24" s="42"/>
    </row>
    <row r="25" spans="1:35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29" t="e">
        <f t="shared" si="0"/>
        <v>#DIV/0!</v>
      </c>
      <c r="M25" s="30"/>
      <c r="N25" s="44"/>
      <c r="O25" s="44"/>
      <c r="P25" s="44"/>
      <c r="Q25" s="31"/>
      <c r="R25" s="32" t="str">
        <f t="shared" si="1"/>
        <v/>
      </c>
      <c r="S25" s="33"/>
      <c r="T25" s="34" t="str">
        <f t="shared" si="2"/>
        <v/>
      </c>
      <c r="U25" s="35"/>
      <c r="V25" s="36" t="str">
        <f t="shared" si="3"/>
        <v/>
      </c>
      <c r="W25" s="37"/>
      <c r="X25" s="38" t="str">
        <f t="shared" si="9"/>
        <v/>
      </c>
      <c r="Y25" s="38" t="str">
        <f t="shared" si="5"/>
        <v/>
      </c>
      <c r="Z25" s="28" t="str">
        <f t="shared" si="6"/>
        <v/>
      </c>
      <c r="AA25" s="27"/>
      <c r="AB25" s="42"/>
      <c r="AC25" s="42"/>
      <c r="AD25" s="42"/>
      <c r="AE25" s="42"/>
      <c r="AF25" s="27" t="e">
        <f t="shared" si="10"/>
        <v>#DIV/0!</v>
      </c>
      <c r="AG25" s="42"/>
      <c r="AH25" s="39" t="e">
        <f t="shared" si="8"/>
        <v>#DIV/0!</v>
      </c>
      <c r="AI25" s="42"/>
    </row>
    <row r="26" spans="1:35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29" t="e">
        <f t="shared" si="0"/>
        <v>#DIV/0!</v>
      </c>
      <c r="M26" s="30"/>
      <c r="N26" s="44"/>
      <c r="O26" s="44"/>
      <c r="P26" s="44"/>
      <c r="Q26" s="31"/>
      <c r="R26" s="32" t="str">
        <f t="shared" si="1"/>
        <v/>
      </c>
      <c r="S26" s="33"/>
      <c r="T26" s="34" t="str">
        <f t="shared" si="2"/>
        <v/>
      </c>
      <c r="U26" s="35"/>
      <c r="V26" s="36" t="str">
        <f t="shared" si="3"/>
        <v/>
      </c>
      <c r="W26" s="37"/>
      <c r="X26" s="38" t="str">
        <f t="shared" si="9"/>
        <v/>
      </c>
      <c r="Y26" s="38" t="str">
        <f t="shared" si="5"/>
        <v/>
      </c>
      <c r="Z26" s="28" t="str">
        <f t="shared" si="6"/>
        <v/>
      </c>
      <c r="AA26" s="27"/>
      <c r="AB26" s="42"/>
      <c r="AC26" s="42"/>
      <c r="AD26" s="42"/>
      <c r="AE26" s="42"/>
      <c r="AF26" s="27" t="e">
        <f t="shared" si="10"/>
        <v>#DIV/0!</v>
      </c>
      <c r="AG26" s="42"/>
      <c r="AH26" s="39" t="e">
        <f t="shared" si="8"/>
        <v>#DIV/0!</v>
      </c>
      <c r="AI26" s="42"/>
    </row>
    <row r="27" spans="1:35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29" t="e">
        <f t="shared" si="0"/>
        <v>#DIV/0!</v>
      </c>
      <c r="M27" s="30"/>
      <c r="N27" s="44"/>
      <c r="O27" s="44"/>
      <c r="P27" s="44"/>
      <c r="Q27" s="31"/>
      <c r="R27" s="32" t="str">
        <f t="shared" si="1"/>
        <v/>
      </c>
      <c r="S27" s="33"/>
      <c r="T27" s="34" t="str">
        <f t="shared" si="2"/>
        <v/>
      </c>
      <c r="U27" s="35"/>
      <c r="V27" s="36" t="str">
        <f t="shared" si="3"/>
        <v/>
      </c>
      <c r="W27" s="37"/>
      <c r="X27" s="38" t="str">
        <f t="shared" si="9"/>
        <v/>
      </c>
      <c r="Y27" s="38" t="str">
        <f t="shared" si="5"/>
        <v/>
      </c>
      <c r="Z27" s="28" t="str">
        <f t="shared" si="6"/>
        <v/>
      </c>
      <c r="AA27" s="27"/>
      <c r="AB27" s="42"/>
      <c r="AC27" s="42"/>
      <c r="AD27" s="42"/>
      <c r="AE27" s="42"/>
      <c r="AF27" s="27" t="e">
        <f t="shared" si="10"/>
        <v>#DIV/0!</v>
      </c>
      <c r="AG27" s="42"/>
      <c r="AH27" s="39" t="e">
        <f t="shared" si="8"/>
        <v>#DIV/0!</v>
      </c>
      <c r="AI27" s="42"/>
    </row>
    <row r="28" spans="1:35" ht="25.5" customHeight="1" x14ac:dyDescent="0.45">
      <c r="A28" s="60" t="s">
        <v>39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2"/>
    </row>
    <row r="29" spans="1:35" x14ac:dyDescent="0.3">
      <c r="A29" s="45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29" t="e">
        <f>+J29/G29</f>
        <v>#DIV/0!</v>
      </c>
      <c r="M29" s="30"/>
      <c r="N29" s="44"/>
      <c r="O29" s="44"/>
      <c r="P29" s="44"/>
      <c r="Q29" s="31"/>
      <c r="R29" s="32" t="str">
        <f>IF(Q29="","",NETWORKDAYS(N29,Q29))</f>
        <v/>
      </c>
      <c r="S29" s="33"/>
      <c r="U29" s="35"/>
      <c r="V29" s="36" t="str">
        <f>IF(U29="","",NETWORKDAYS(S29,U29))</f>
        <v/>
      </c>
      <c r="W29" s="37"/>
      <c r="X29" s="38" t="str">
        <f t="shared" ref="X29" si="11">IF(W29="","",NETWORKDAYS(U29,W29))</f>
        <v/>
      </c>
      <c r="Y29" s="38" t="str">
        <f>IF(W29="","",NETWORKDAYS(N29,W29))</f>
        <v/>
      </c>
      <c r="Z29" s="28" t="str">
        <f t="shared" ref="Z29" si="12">IF(Y29="","",IF(Y29&lt;=20,"EFICIENTE","NO EFICIENTE"))</f>
        <v/>
      </c>
      <c r="AA29" s="27"/>
      <c r="AB29" s="42"/>
      <c r="AC29" s="42"/>
      <c r="AD29" s="42"/>
      <c r="AE29" s="42"/>
      <c r="AF29" s="27" t="e">
        <f>ROUNDUP((F29*1/(AC29*AD29*M29*AE29)),0)</f>
        <v>#DIV/0!</v>
      </c>
      <c r="AG29" s="42"/>
      <c r="AH29" s="39" t="e">
        <f>WORKDAY.INTL(P29,AF29,1,0)</f>
        <v>#DIV/0!</v>
      </c>
      <c r="AI29" s="42"/>
    </row>
    <row r="30" spans="1:35" x14ac:dyDescent="0.3">
      <c r="A30" s="45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29" t="e">
        <f>+J30/G30</f>
        <v>#DIV/0!</v>
      </c>
      <c r="M30" s="30"/>
      <c r="N30" s="44"/>
      <c r="O30" s="44"/>
      <c r="P30" s="44"/>
      <c r="Q30" s="31"/>
      <c r="R30" s="32" t="str">
        <f>IF(Q30="","",NETWORKDAYS(N30,Q30))</f>
        <v/>
      </c>
      <c r="S30" s="33"/>
      <c r="T30" s="34" t="str">
        <f>IF(S29="","",NETWORKDAYS(Q29,S29))</f>
        <v/>
      </c>
      <c r="U30" s="35"/>
      <c r="V30" s="36"/>
      <c r="W30" s="37"/>
      <c r="X30" s="38"/>
      <c r="Y30" s="38"/>
      <c r="Z30" s="28"/>
      <c r="AA30" s="27"/>
      <c r="AB30" s="42"/>
      <c r="AC30" s="42"/>
      <c r="AD30" s="42"/>
      <c r="AE30" s="42"/>
      <c r="AF30" s="27" t="e">
        <f>ROUNDUP((F30*1/(AC30*AD30*M30*AE30)),0)</f>
        <v>#DIV/0!</v>
      </c>
      <c r="AG30" s="42"/>
      <c r="AH30" s="39" t="e">
        <f>WORKDAY.INTL(P30,AF30,1,0)</f>
        <v>#DIV/0!</v>
      </c>
      <c r="AI30" s="42"/>
    </row>
    <row r="31" spans="1:35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29" t="e">
        <f t="shared" si="0"/>
        <v>#DIV/0!</v>
      </c>
      <c r="M31" s="30"/>
      <c r="N31" s="44"/>
      <c r="O31" s="44"/>
      <c r="P31" s="44"/>
      <c r="Q31" s="31"/>
      <c r="R31" s="32" t="str">
        <f t="shared" si="1"/>
        <v/>
      </c>
      <c r="S31" s="33"/>
      <c r="T31" s="34" t="str">
        <f t="shared" si="2"/>
        <v/>
      </c>
      <c r="U31" s="35"/>
      <c r="V31" s="36" t="str">
        <f t="shared" si="3"/>
        <v/>
      </c>
      <c r="W31" s="37"/>
      <c r="X31" s="38"/>
      <c r="Y31" s="38" t="str">
        <f t="shared" si="5"/>
        <v/>
      </c>
      <c r="Z31" s="28"/>
      <c r="AA31" s="27"/>
      <c r="AB31" s="42"/>
      <c r="AC31" s="42"/>
      <c r="AD31" s="42"/>
      <c r="AE31" s="42"/>
      <c r="AF31" s="27" t="e">
        <f t="shared" si="10"/>
        <v>#DIV/0!</v>
      </c>
      <c r="AG31" s="42"/>
      <c r="AH31" s="39" t="e">
        <f t="shared" si="8"/>
        <v>#DIV/0!</v>
      </c>
      <c r="AI31" s="42"/>
    </row>
    <row r="32" spans="1:35" x14ac:dyDescent="0.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29" t="e">
        <f t="shared" si="0"/>
        <v>#DIV/0!</v>
      </c>
      <c r="M32" s="30"/>
      <c r="N32" s="44"/>
      <c r="O32" s="44"/>
      <c r="P32" s="44"/>
      <c r="Q32" s="31"/>
      <c r="R32" s="32" t="str">
        <f t="shared" si="1"/>
        <v/>
      </c>
      <c r="S32" s="33"/>
      <c r="T32" s="34" t="str">
        <f t="shared" si="2"/>
        <v/>
      </c>
      <c r="U32" s="35"/>
      <c r="V32" s="36" t="str">
        <f t="shared" si="3"/>
        <v/>
      </c>
      <c r="W32" s="37"/>
      <c r="X32" s="38"/>
      <c r="Y32" s="38" t="str">
        <f t="shared" si="5"/>
        <v/>
      </c>
      <c r="Z32" s="28"/>
      <c r="AA32" s="27"/>
      <c r="AB32" s="42"/>
      <c r="AC32" s="42"/>
      <c r="AD32" s="42"/>
      <c r="AE32" s="42"/>
      <c r="AF32" s="27" t="e">
        <f t="shared" si="10"/>
        <v>#DIV/0!</v>
      </c>
      <c r="AG32" s="42"/>
      <c r="AH32" s="39" t="e">
        <f t="shared" si="8"/>
        <v>#DIV/0!</v>
      </c>
      <c r="AI32" s="42"/>
    </row>
  </sheetData>
  <autoFilter ref="A1:AI32" xr:uid="{17053D90-E25B-47CC-A1ED-22A0FDF05D86}"/>
  <mergeCells count="1">
    <mergeCell ref="A28:AI28"/>
  </mergeCells>
  <conditionalFormatting sqref="AA1">
    <cfRule type="containsText" dxfId="34" priority="97" operator="containsText" text="ACA">
      <formula>NOT(ISERROR(SEARCH("ACA",AA1)))</formula>
    </cfRule>
    <cfRule type="containsText" dxfId="33" priority="98" operator="containsText" text="TER">
      <formula>NOT(ISERROR(SEARCH("TER",AA1)))</formula>
    </cfRule>
    <cfRule type="containsText" dxfId="32" priority="99" operator="containsText" text="MON">
      <formula>NOT(ISERROR(SEARCH("MON",AA1)))</formula>
    </cfRule>
    <cfRule type="containsText" dxfId="31" priority="100" operator="containsText" text="TEJE">
      <formula>NOT(ISERROR(SEARCH("TEJE",AA1)))</formula>
    </cfRule>
    <cfRule type="containsText" dxfId="30" priority="101" operator="containsText" text="CA">
      <formula>NOT(ISERROR(SEARCH("CA",AA1)))</formula>
    </cfRule>
  </conditionalFormatting>
  <conditionalFormatting sqref="M29:M32 M1:M27">
    <cfRule type="cellIs" dxfId="29" priority="94" operator="between">
      <formula>0.69</formula>
      <formula>0</formula>
    </cfRule>
    <cfRule type="cellIs" dxfId="28" priority="95" operator="between">
      <formula>0.79</formula>
      <formula>1</formula>
    </cfRule>
    <cfRule type="cellIs" dxfId="27" priority="96" operator="between">
      <formula>0.69</formula>
      <formula>0.79</formula>
    </cfRule>
  </conditionalFormatting>
  <conditionalFormatting sqref="Z1">
    <cfRule type="containsText" dxfId="26" priority="89" operator="containsText" text="ACA">
      <formula>NOT(ISERROR(SEARCH("ACA",Z1)))</formula>
    </cfRule>
    <cfRule type="containsText" dxfId="25" priority="90" operator="containsText" text="TER">
      <formula>NOT(ISERROR(SEARCH("TER",Z1)))</formula>
    </cfRule>
    <cfRule type="containsText" dxfId="24" priority="91" operator="containsText" text="MON">
      <formula>NOT(ISERROR(SEARCH("MON",Z1)))</formula>
    </cfRule>
    <cfRule type="containsText" dxfId="23" priority="92" operator="containsText" text="TEJE">
      <formula>NOT(ISERROR(SEARCH("TEJE",Z1)))</formula>
    </cfRule>
    <cfRule type="containsText" dxfId="22" priority="93" operator="containsText" text="CA">
      <formula>NOT(ISERROR(SEARCH("CA",Z1)))</formula>
    </cfRule>
  </conditionalFormatting>
  <conditionalFormatting sqref="Z30 Z1:Z27">
    <cfRule type="containsText" dxfId="21" priority="85" operator="containsText" text="NO EFICIENTE">
      <formula>NOT(ISERROR(SEARCH("NO EFICIENTE",Z1)))</formula>
    </cfRule>
    <cfRule type="containsText" dxfId="20" priority="86" operator="containsText" text="EFICIENTE">
      <formula>NOT(ISERROR(SEARCH("EFICIENTE",Z1)))</formula>
    </cfRule>
    <cfRule type="containsText" dxfId="19" priority="87" operator="containsText" text="NO">
      <formula>NOT(ISERROR(SEARCH("NO",Z1)))</formula>
    </cfRule>
    <cfRule type="containsText" dxfId="18" priority="88" operator="containsText" text="EFICIENTE">
      <formula>NOT(ISERROR(SEARCH("EFICIENTE",Z1)))</formula>
    </cfRule>
  </conditionalFormatting>
  <conditionalFormatting sqref="AH29:AH32 AH2:AH27">
    <cfRule type="cellIs" dxfId="17" priority="61" operator="greaterThan">
      <formula>45658</formula>
    </cfRule>
  </conditionalFormatting>
  <conditionalFormatting sqref="Z29 Z32">
    <cfRule type="containsText" dxfId="16" priority="54" operator="containsText" text="NO EFICIENTE">
      <formula>NOT(ISERROR(SEARCH("NO EFICIENTE",Z29)))</formula>
    </cfRule>
    <cfRule type="containsText" dxfId="15" priority="55" operator="containsText" text="EFICIENTE">
      <formula>NOT(ISERROR(SEARCH("EFICIENTE",Z29)))</formula>
    </cfRule>
    <cfRule type="containsText" dxfId="14" priority="56" operator="containsText" text="NO">
      <formula>NOT(ISERROR(SEARCH("NO",Z29)))</formula>
    </cfRule>
    <cfRule type="containsText" dxfId="13" priority="57" operator="containsText" text="EFICIENTE">
      <formula>NOT(ISERROR(SEARCH("EFICIENTE",Z29)))</formula>
    </cfRule>
  </conditionalFormatting>
  <conditionalFormatting sqref="AA29:AA32 AA2:AA27">
    <cfRule type="containsText" dxfId="12" priority="49" operator="containsText" text="terminado">
      <formula>NOT(ISERROR(SEARCH("terminado",AA2)))</formula>
    </cfRule>
    <cfRule type="containsText" dxfId="11" priority="50" operator="containsText" text="acabados">
      <formula>NOT(ISERROR(SEARCH("acabados",AA2)))</formula>
    </cfRule>
    <cfRule type="containsText" dxfId="10" priority="51" operator="containsText" text="ca">
      <formula>NOT(ISERROR(SEARCH("ca",AA2)))</formula>
    </cfRule>
    <cfRule type="containsText" dxfId="9" priority="52" operator="containsText" text="mon">
      <formula>NOT(ISERROR(SEARCH("mon",AA2)))</formula>
    </cfRule>
    <cfRule type="containsText" dxfId="8" priority="53" operator="containsText" text="teje">
      <formula>NOT(ISERROR(SEARCH("teje",AA2)))</formula>
    </cfRule>
  </conditionalFormatting>
  <conditionalFormatting sqref="Z29:Z30">
    <cfRule type="containsText" dxfId="7" priority="41" operator="containsText" text="NO EFICIENTE">
      <formula>NOT(ISERROR(SEARCH("NO EFICIENTE",Z29)))</formula>
    </cfRule>
    <cfRule type="containsText" dxfId="6" priority="42" operator="containsText" text="EFICIENTE">
      <formula>NOT(ISERROR(SEARCH("EFICIENTE",Z29)))</formula>
    </cfRule>
    <cfRule type="containsText" dxfId="5" priority="43" operator="containsText" text="NO">
      <formula>NOT(ISERROR(SEARCH("NO",Z29)))</formula>
    </cfRule>
    <cfRule type="containsText" dxfId="4" priority="44" operator="containsText" text="EFICIENTE">
      <formula>NOT(ISERROR(SEARCH("EFICIENTE",Z29)))</formula>
    </cfRule>
  </conditionalFormatting>
  <conditionalFormatting sqref="Z31">
    <cfRule type="containsText" dxfId="3" priority="28" operator="containsText" text="NO EFICIENTE">
      <formula>NOT(ISERROR(SEARCH("NO EFICIENTE",Z31)))</formula>
    </cfRule>
    <cfRule type="containsText" dxfId="2" priority="29" operator="containsText" text="EFICIENTE">
      <formula>NOT(ISERROR(SEARCH("EFICIENTE",Z31)))</formula>
    </cfRule>
    <cfRule type="containsText" dxfId="1" priority="30" operator="containsText" text="NO">
      <formula>NOT(ISERROR(SEARCH("NO",Z31)))</formula>
    </cfRule>
    <cfRule type="containsText" dxfId="0" priority="31" operator="containsText" text="EFICIENTE">
      <formula>NOT(ISERROR(SEARCH("EFICIENTE",Z31)))</formula>
    </cfRule>
  </conditionalFormatting>
  <hyperlinks>
    <hyperlink ref="A2" r:id="rId1" location="'OP38 SEP'!A1" xr:uid="{2376F151-1753-4517-87F6-481FFC7ED0A0}"/>
    <hyperlink ref="A3" r:id="rId2" location="'OP33-35 SEP'!A1" xr:uid="{5ED61F4E-9662-483A-96F8-A520DFF44135}"/>
    <hyperlink ref="A7" r:id="rId3" location="'OP30 SEP'!A1" xr:uid="{773CEBD6-4D13-4C6B-A997-17F828AB6B3F}"/>
    <hyperlink ref="A5" r:id="rId4" location="'OP27 AGO'!A1" xr:uid="{10EDA79E-A77F-40DA-AA72-1AC1D92995A2}"/>
    <hyperlink ref="A4" r:id="rId5" location="'OP26 AGO'!A1" xr:uid="{01DD1D35-AAC7-4497-ACF1-52A92498FC61}"/>
    <hyperlink ref="A8" r:id="rId6" location="'OP48 SEP'!A1" xr:uid="{741D790B-5ECB-4565-9BC8-C39166A0B622}"/>
    <hyperlink ref="A11" r:id="rId7" location="'OP37-01 SEP'!A1" xr:uid="{CE3C9004-6C5D-49DE-B54B-9C94AE579866}"/>
    <hyperlink ref="A12" r:id="rId8" location="'OP26 SEP'!A1" xr:uid="{B28D06AB-F239-4560-9C0A-0BA6C28A6404}"/>
    <hyperlink ref="A13" r:id="rId9" location="'OP44 SEP'!A1" xr:uid="{46AA1397-C686-47C2-AD10-0966E62D4322}"/>
    <hyperlink ref="A14" r:id="rId10" location="'OP61 SEP'!A1" xr:uid="{74940AE3-5176-48C3-8940-3AB487677A3E}"/>
    <hyperlink ref="A6" r:id="rId11" location="'OP29 AGO'!A1" xr:uid="{F6EA37C9-858A-4FDE-A3B2-F23DC111D6DE}"/>
    <hyperlink ref="A17" r:id="rId12" location="'OP10 OCT'!A1" xr:uid="{CC522A51-090F-435A-886A-3913C368BCE7}"/>
    <hyperlink ref="A10" r:id="rId13" location="'OP34 SEP'!A1" xr:uid="{604840CF-201C-4655-AE89-C98A9FCD1643}"/>
    <hyperlink ref="A19" r:id="rId14" location="'OP40-41 SEP'!A1" xr:uid="{1C5B809F-9E4F-47A8-94EF-81CDEC4DA3F8}"/>
  </hyperlinks>
  <pageMargins left="0.7" right="0.7" top="0.75" bottom="0.75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DEAD-53C5-48B7-9D73-B72188535652}">
  <sheetPr codeName="Hoja2"/>
  <dimension ref="A1:K57"/>
  <sheetViews>
    <sheetView tabSelected="1" workbookViewId="0">
      <pane ySplit="1" topLeftCell="A47" activePane="bottomLeft" state="frozen"/>
      <selection pane="bottomLeft" activeCell="J2" sqref="J2:J12"/>
    </sheetView>
  </sheetViews>
  <sheetFormatPr baseColWidth="10" defaultRowHeight="14.4" x14ac:dyDescent="0.3"/>
  <cols>
    <col min="1" max="2" width="16" style="52" customWidth="1"/>
  </cols>
  <sheetData>
    <row r="1" spans="1:11" ht="22.95" customHeight="1" x14ac:dyDescent="0.3">
      <c r="A1" s="46" t="s">
        <v>45</v>
      </c>
      <c r="B1" s="46"/>
      <c r="C1" s="46" t="s">
        <v>46</v>
      </c>
      <c r="D1" s="46" t="s">
        <v>47</v>
      </c>
      <c r="E1" s="46" t="s">
        <v>48</v>
      </c>
      <c r="F1" s="46" t="s">
        <v>35</v>
      </c>
      <c r="G1" s="46" t="s">
        <v>49</v>
      </c>
      <c r="H1" s="46" t="s">
        <v>50</v>
      </c>
      <c r="I1" s="46" t="s">
        <v>51</v>
      </c>
      <c r="J1" s="46" t="s">
        <v>36</v>
      </c>
    </row>
    <row r="2" spans="1:11" x14ac:dyDescent="0.3">
      <c r="A2" s="47" t="s">
        <v>43</v>
      </c>
      <c r="B2" s="47"/>
      <c r="C2" s="48">
        <v>6</v>
      </c>
      <c r="D2" s="48"/>
      <c r="E2" s="48"/>
      <c r="F2" s="48"/>
      <c r="G2" s="48"/>
      <c r="H2" s="48"/>
      <c r="I2" s="48"/>
      <c r="J2" s="48"/>
      <c r="K2">
        <f t="shared" ref="K2:K55" si="0">SUM(E2:J2)</f>
        <v>0</v>
      </c>
    </row>
    <row r="3" spans="1:11" x14ac:dyDescent="0.3">
      <c r="A3" s="47" t="s">
        <v>54</v>
      </c>
      <c r="B3" s="47"/>
      <c r="C3" s="48">
        <v>2</v>
      </c>
      <c r="D3" s="48">
        <v>2</v>
      </c>
      <c r="E3" s="48"/>
      <c r="F3" s="48"/>
      <c r="G3" s="48"/>
      <c r="H3" s="48"/>
      <c r="I3" s="48"/>
      <c r="J3" s="48"/>
      <c r="K3">
        <f t="shared" si="0"/>
        <v>0</v>
      </c>
    </row>
    <row r="4" spans="1:11" x14ac:dyDescent="0.3">
      <c r="A4" s="47" t="s">
        <v>56</v>
      </c>
      <c r="B4" s="47"/>
      <c r="C4" s="48">
        <v>3</v>
      </c>
      <c r="D4" s="48"/>
      <c r="E4" s="48"/>
      <c r="F4" s="48">
        <v>3</v>
      </c>
      <c r="G4" s="48"/>
      <c r="H4" s="48"/>
      <c r="I4" s="48"/>
      <c r="J4" s="48"/>
      <c r="K4">
        <f t="shared" si="0"/>
        <v>3</v>
      </c>
    </row>
    <row r="5" spans="1:11" x14ac:dyDescent="0.3">
      <c r="A5" s="47" t="s">
        <v>40</v>
      </c>
      <c r="B5" s="47"/>
      <c r="C5" s="48">
        <v>3</v>
      </c>
      <c r="D5" s="48">
        <v>3</v>
      </c>
      <c r="E5" s="48"/>
      <c r="F5" s="48"/>
      <c r="G5" s="48"/>
      <c r="H5" s="48"/>
      <c r="I5" s="48"/>
      <c r="J5" s="48"/>
      <c r="K5">
        <f t="shared" si="0"/>
        <v>0</v>
      </c>
    </row>
    <row r="6" spans="1:11" x14ac:dyDescent="0.3">
      <c r="A6" s="55" t="s">
        <v>57</v>
      </c>
      <c r="B6" s="47"/>
      <c r="C6" s="48"/>
      <c r="D6" s="48">
        <v>4</v>
      </c>
      <c r="E6" s="48"/>
      <c r="F6" s="48"/>
      <c r="G6" s="48"/>
      <c r="H6" s="48"/>
      <c r="I6" s="48"/>
      <c r="J6" s="48"/>
      <c r="K6">
        <f t="shared" si="0"/>
        <v>0</v>
      </c>
    </row>
    <row r="7" spans="1:11" x14ac:dyDescent="0.3">
      <c r="A7" s="55" t="s">
        <v>58</v>
      </c>
      <c r="B7" s="49"/>
      <c r="C7" s="48"/>
      <c r="D7" s="48"/>
      <c r="E7" s="48"/>
      <c r="F7" s="48">
        <v>8</v>
      </c>
      <c r="G7" s="48"/>
      <c r="H7" s="48"/>
      <c r="I7" s="48"/>
      <c r="J7" s="48"/>
      <c r="K7">
        <f t="shared" si="0"/>
        <v>8</v>
      </c>
    </row>
    <row r="8" spans="1:11" x14ac:dyDescent="0.3">
      <c r="A8" s="55" t="s">
        <v>41</v>
      </c>
      <c r="B8" s="47"/>
      <c r="C8" s="48"/>
      <c r="D8" s="48"/>
      <c r="E8" s="48"/>
      <c r="F8" s="48">
        <v>4</v>
      </c>
      <c r="G8" s="48"/>
      <c r="H8" s="48"/>
      <c r="I8" s="48"/>
      <c r="J8" s="48">
        <v>4</v>
      </c>
      <c r="K8">
        <f t="shared" si="0"/>
        <v>8</v>
      </c>
    </row>
    <row r="9" spans="1:11" x14ac:dyDescent="0.3">
      <c r="A9" s="49" t="s">
        <v>59</v>
      </c>
      <c r="B9" s="49"/>
      <c r="C9" s="48">
        <v>1</v>
      </c>
      <c r="D9" s="48"/>
      <c r="E9" s="48"/>
      <c r="F9" s="48">
        <v>1</v>
      </c>
      <c r="G9" s="48"/>
      <c r="H9" s="48"/>
      <c r="I9" s="48"/>
      <c r="J9" s="48"/>
      <c r="K9">
        <f t="shared" si="0"/>
        <v>1</v>
      </c>
    </row>
    <row r="10" spans="1:11" x14ac:dyDescent="0.3">
      <c r="A10" s="55" t="s">
        <v>42</v>
      </c>
      <c r="B10" s="49"/>
      <c r="C10" s="48"/>
      <c r="D10" s="48"/>
      <c r="E10" s="48"/>
      <c r="F10" s="48">
        <v>12</v>
      </c>
      <c r="G10" s="48"/>
      <c r="H10" s="48"/>
      <c r="I10" s="48"/>
      <c r="J10" s="48"/>
      <c r="K10">
        <f t="shared" si="0"/>
        <v>12</v>
      </c>
    </row>
    <row r="11" spans="1:11" x14ac:dyDescent="0.3">
      <c r="A11" s="49" t="s">
        <v>60</v>
      </c>
      <c r="B11" s="49"/>
      <c r="C11" s="48"/>
      <c r="D11" s="48">
        <v>6</v>
      </c>
      <c r="E11" s="48"/>
      <c r="F11" s="48"/>
      <c r="G11" s="48"/>
      <c r="H11" s="48"/>
      <c r="I11" s="48"/>
      <c r="J11" s="48"/>
      <c r="K11">
        <f t="shared" si="0"/>
        <v>0</v>
      </c>
    </row>
    <row r="12" spans="1:11" x14ac:dyDescent="0.3">
      <c r="A12" s="47" t="s">
        <v>61</v>
      </c>
      <c r="B12" s="47"/>
      <c r="C12" s="48">
        <v>3</v>
      </c>
      <c r="D12" s="48">
        <v>3</v>
      </c>
      <c r="E12" s="48"/>
      <c r="F12" s="48"/>
      <c r="G12" s="48"/>
      <c r="H12" s="48"/>
      <c r="I12" s="48"/>
      <c r="J12" s="48"/>
      <c r="K12">
        <f t="shared" si="0"/>
        <v>0</v>
      </c>
    </row>
    <row r="13" spans="1:11" x14ac:dyDescent="0.3">
      <c r="A13" s="49" t="s">
        <v>62</v>
      </c>
      <c r="B13" s="49"/>
      <c r="C13" s="48">
        <v>3</v>
      </c>
      <c r="D13" s="48">
        <v>3</v>
      </c>
      <c r="E13" s="48"/>
      <c r="F13" s="48"/>
      <c r="G13" s="48"/>
      <c r="H13" s="48"/>
      <c r="I13" s="48"/>
      <c r="J13" s="48"/>
      <c r="K13">
        <f t="shared" si="0"/>
        <v>0</v>
      </c>
    </row>
    <row r="14" spans="1:11" x14ac:dyDescent="0.3">
      <c r="A14" s="55" t="s">
        <v>100</v>
      </c>
      <c r="B14" s="49"/>
      <c r="C14" s="48"/>
      <c r="D14" s="48">
        <v>3</v>
      </c>
      <c r="E14" s="48"/>
      <c r="F14" s="48"/>
      <c r="G14" s="48"/>
      <c r="H14" s="48"/>
      <c r="I14" s="48"/>
      <c r="J14" s="48"/>
      <c r="K14">
        <f t="shared" si="0"/>
        <v>0</v>
      </c>
    </row>
    <row r="15" spans="1:11" x14ac:dyDescent="0.3">
      <c r="A15" s="55" t="s">
        <v>79</v>
      </c>
      <c r="B15" s="47"/>
      <c r="C15" s="48"/>
      <c r="D15" s="48"/>
      <c r="E15" s="48"/>
      <c r="F15" s="48">
        <v>6</v>
      </c>
      <c r="G15" s="48"/>
      <c r="H15" s="48"/>
      <c r="I15" s="48"/>
      <c r="J15" s="48"/>
      <c r="K15">
        <f t="shared" si="0"/>
        <v>6</v>
      </c>
    </row>
    <row r="16" spans="1:11" x14ac:dyDescent="0.3">
      <c r="A16" s="47" t="s">
        <v>105</v>
      </c>
      <c r="B16" s="47"/>
      <c r="C16" s="48">
        <v>3</v>
      </c>
      <c r="D16" s="48"/>
      <c r="E16" s="48"/>
      <c r="F16" s="48"/>
      <c r="G16" s="48">
        <v>3</v>
      </c>
      <c r="H16" s="48"/>
      <c r="I16" s="48"/>
      <c r="J16" s="48"/>
      <c r="K16">
        <f t="shared" si="0"/>
        <v>3</v>
      </c>
    </row>
    <row r="17" spans="1:11" x14ac:dyDescent="0.3">
      <c r="A17" s="47" t="s">
        <v>113</v>
      </c>
      <c r="B17" s="47"/>
      <c r="C17" s="48"/>
      <c r="D17" s="48"/>
      <c r="E17" s="48"/>
      <c r="F17" s="48">
        <v>4</v>
      </c>
      <c r="G17" s="48"/>
      <c r="H17" s="48"/>
      <c r="I17" s="48"/>
      <c r="J17" s="48"/>
      <c r="K17">
        <f t="shared" si="0"/>
        <v>4</v>
      </c>
    </row>
    <row r="18" spans="1:11" x14ac:dyDescent="0.3">
      <c r="A18" s="47" t="s">
        <v>87</v>
      </c>
      <c r="B18" s="47"/>
      <c r="C18" s="48"/>
      <c r="D18" s="48">
        <v>1</v>
      </c>
      <c r="E18" s="48"/>
      <c r="F18" s="48">
        <v>1</v>
      </c>
      <c r="G18" s="48"/>
      <c r="H18" s="48"/>
      <c r="I18" s="48"/>
      <c r="J18" s="48"/>
      <c r="K18">
        <f t="shared" si="0"/>
        <v>1</v>
      </c>
    </row>
    <row r="19" spans="1:11" x14ac:dyDescent="0.3">
      <c r="A19" s="49" t="s">
        <v>115</v>
      </c>
      <c r="B19" s="49"/>
      <c r="C19" s="48">
        <v>6</v>
      </c>
      <c r="D19" s="48"/>
      <c r="E19" s="48"/>
      <c r="F19" s="48"/>
      <c r="G19" s="48"/>
      <c r="H19" s="48"/>
      <c r="I19" s="48"/>
      <c r="J19" s="48"/>
      <c r="K19">
        <f t="shared" si="0"/>
        <v>0</v>
      </c>
    </row>
    <row r="20" spans="1:11" x14ac:dyDescent="0.3">
      <c r="A20" s="47" t="s">
        <v>116</v>
      </c>
      <c r="B20" s="47"/>
      <c r="C20" s="48">
        <v>2</v>
      </c>
      <c r="D20" s="48">
        <v>3</v>
      </c>
      <c r="E20" s="48"/>
      <c r="F20" s="48"/>
      <c r="G20" s="48"/>
      <c r="H20" s="48"/>
      <c r="I20" s="48"/>
      <c r="J20" s="48"/>
      <c r="K20">
        <f t="shared" si="0"/>
        <v>0</v>
      </c>
    </row>
    <row r="21" spans="1:11" x14ac:dyDescent="0.3">
      <c r="A21" s="47" t="s">
        <v>93</v>
      </c>
      <c r="B21" s="47"/>
      <c r="C21" s="48">
        <v>1</v>
      </c>
      <c r="D21" s="48"/>
      <c r="E21" s="48"/>
      <c r="F21" s="48"/>
      <c r="G21" s="48">
        <v>1</v>
      </c>
      <c r="H21" s="48"/>
      <c r="I21" s="48"/>
      <c r="J21" s="48"/>
      <c r="K21">
        <f t="shared" si="0"/>
        <v>1</v>
      </c>
    </row>
    <row r="22" spans="1:11" x14ac:dyDescent="0.3">
      <c r="A22" s="47"/>
      <c r="B22" s="47"/>
      <c r="C22" s="48"/>
      <c r="D22" s="48"/>
      <c r="E22" s="48"/>
      <c r="F22" s="48"/>
      <c r="G22" s="48"/>
      <c r="H22" s="48"/>
      <c r="I22" s="48"/>
      <c r="J22" s="48"/>
      <c r="K22">
        <f t="shared" si="0"/>
        <v>0</v>
      </c>
    </row>
    <row r="23" spans="1:11" x14ac:dyDescent="0.3">
      <c r="A23" s="47"/>
      <c r="B23" s="47"/>
      <c r="C23" s="48"/>
      <c r="D23" s="48"/>
      <c r="E23" s="48"/>
      <c r="F23" s="48"/>
      <c r="G23" s="48"/>
      <c r="H23" s="48"/>
      <c r="I23" s="48"/>
      <c r="J23" s="48"/>
      <c r="K23">
        <f t="shared" si="0"/>
        <v>0</v>
      </c>
    </row>
    <row r="24" spans="1:11" x14ac:dyDescent="0.3">
      <c r="A24" s="47"/>
      <c r="B24" s="47"/>
      <c r="C24" s="48"/>
      <c r="D24" s="48"/>
      <c r="E24" s="48"/>
      <c r="F24" s="48"/>
      <c r="G24" s="48"/>
      <c r="H24" s="48"/>
      <c r="I24" s="48"/>
      <c r="J24" s="48"/>
      <c r="K24">
        <f t="shared" si="0"/>
        <v>0</v>
      </c>
    </row>
    <row r="25" spans="1:11" x14ac:dyDescent="0.3">
      <c r="A25" s="50"/>
      <c r="B25" s="50"/>
      <c r="C25" s="48"/>
      <c r="D25" s="48"/>
      <c r="E25" s="48"/>
      <c r="F25" s="48"/>
      <c r="G25" s="48"/>
      <c r="H25" s="48"/>
      <c r="I25" s="48"/>
      <c r="J25" s="48"/>
      <c r="K25">
        <f t="shared" si="0"/>
        <v>0</v>
      </c>
    </row>
    <row r="26" spans="1:11" x14ac:dyDescent="0.3">
      <c r="A26" s="47"/>
      <c r="B26" s="47"/>
      <c r="C26" s="48"/>
      <c r="D26" s="48"/>
      <c r="E26" s="48"/>
      <c r="F26" s="48"/>
      <c r="G26" s="48"/>
      <c r="H26" s="48"/>
      <c r="I26" s="48"/>
      <c r="J26" s="48"/>
      <c r="K26">
        <f t="shared" si="0"/>
        <v>0</v>
      </c>
    </row>
    <row r="27" spans="1:11" x14ac:dyDescent="0.3">
      <c r="A27" s="47"/>
      <c r="B27" s="47"/>
      <c r="C27" s="48"/>
      <c r="D27" s="48"/>
      <c r="E27" s="48"/>
      <c r="F27" s="48"/>
      <c r="G27" s="48"/>
      <c r="H27" s="48"/>
      <c r="I27" s="48"/>
      <c r="J27" s="48"/>
      <c r="K27">
        <f t="shared" si="0"/>
        <v>0</v>
      </c>
    </row>
    <row r="28" spans="1:11" x14ac:dyDescent="0.3">
      <c r="A28" s="47"/>
      <c r="B28" s="47"/>
      <c r="C28" s="51"/>
      <c r="D28" s="48"/>
      <c r="E28" s="48"/>
      <c r="F28" s="51"/>
      <c r="G28" s="48"/>
      <c r="H28" s="48"/>
      <c r="I28" s="48"/>
      <c r="J28" s="48"/>
      <c r="K28">
        <f t="shared" si="0"/>
        <v>0</v>
      </c>
    </row>
    <row r="29" spans="1:11" x14ac:dyDescent="0.3">
      <c r="A29" s="47"/>
      <c r="B29" s="47"/>
      <c r="C29" s="48"/>
      <c r="D29" s="48"/>
      <c r="E29" s="48"/>
      <c r="F29" s="48"/>
      <c r="G29" s="48"/>
      <c r="H29" s="48"/>
      <c r="I29" s="48"/>
      <c r="J29" s="48"/>
      <c r="K29">
        <f t="shared" si="0"/>
        <v>0</v>
      </c>
    </row>
    <row r="30" spans="1:11" x14ac:dyDescent="0.3">
      <c r="A30" s="47"/>
      <c r="B30" s="47"/>
      <c r="C30" s="48"/>
      <c r="D30" s="48"/>
      <c r="E30" s="48"/>
      <c r="F30" s="48"/>
      <c r="G30" s="48"/>
      <c r="H30" s="48"/>
      <c r="I30" s="48"/>
      <c r="J30" s="48"/>
      <c r="K30">
        <f t="shared" si="0"/>
        <v>0</v>
      </c>
    </row>
    <row r="31" spans="1:11" x14ac:dyDescent="0.3">
      <c r="A31" s="47"/>
      <c r="B31" s="47"/>
      <c r="C31" s="48"/>
      <c r="D31" s="48"/>
      <c r="E31" s="48"/>
      <c r="F31" s="48"/>
      <c r="G31" s="48"/>
      <c r="H31" s="48"/>
      <c r="I31" s="48"/>
      <c r="J31" s="48"/>
      <c r="K31">
        <f t="shared" si="0"/>
        <v>0</v>
      </c>
    </row>
    <row r="32" spans="1:11" x14ac:dyDescent="0.3">
      <c r="A32" s="47"/>
      <c r="B32" s="47"/>
      <c r="C32" s="51"/>
      <c r="D32" s="51"/>
      <c r="E32" s="48"/>
      <c r="F32" s="48"/>
      <c r="G32" s="48"/>
      <c r="H32" s="48"/>
      <c r="I32" s="48"/>
      <c r="J32" s="48"/>
      <c r="K32">
        <f t="shared" si="0"/>
        <v>0</v>
      </c>
    </row>
    <row r="33" spans="1:11" x14ac:dyDescent="0.3">
      <c r="A33" s="47"/>
      <c r="B33" s="47"/>
      <c r="C33" s="48"/>
      <c r="D33" s="48"/>
      <c r="E33" s="48"/>
      <c r="F33" s="48"/>
      <c r="G33" s="48"/>
      <c r="H33" s="48"/>
      <c r="I33" s="48"/>
      <c r="J33" s="48"/>
      <c r="K33">
        <f t="shared" si="0"/>
        <v>0</v>
      </c>
    </row>
    <row r="34" spans="1:11" x14ac:dyDescent="0.3">
      <c r="A34" s="47"/>
      <c r="B34" s="47"/>
      <c r="C34" s="48"/>
      <c r="D34" s="48"/>
      <c r="E34" s="48"/>
      <c r="F34" s="48"/>
      <c r="G34" s="48"/>
      <c r="H34" s="48"/>
      <c r="I34" s="48"/>
      <c r="J34" s="48"/>
      <c r="K34">
        <f t="shared" si="0"/>
        <v>0</v>
      </c>
    </row>
    <row r="35" spans="1:11" x14ac:dyDescent="0.3">
      <c r="A35" s="47"/>
      <c r="B35" s="47"/>
      <c r="C35" s="48"/>
      <c r="D35" s="48"/>
      <c r="E35" s="48"/>
      <c r="F35" s="48"/>
      <c r="G35" s="48"/>
      <c r="H35" s="48"/>
      <c r="I35" s="48"/>
      <c r="J35" s="48"/>
      <c r="K35">
        <f t="shared" si="0"/>
        <v>0</v>
      </c>
    </row>
    <row r="36" spans="1:11" x14ac:dyDescent="0.3">
      <c r="A36" s="47"/>
      <c r="B36" s="47"/>
      <c r="C36" s="48"/>
      <c r="D36" s="48"/>
      <c r="E36" s="48"/>
      <c r="F36" s="48"/>
      <c r="G36" s="48"/>
      <c r="H36" s="48"/>
      <c r="I36" s="48"/>
      <c r="J36" s="48"/>
      <c r="K36">
        <f t="shared" si="0"/>
        <v>0</v>
      </c>
    </row>
    <row r="37" spans="1:11" x14ac:dyDescent="0.3">
      <c r="A37" s="47"/>
      <c r="B37" s="47"/>
      <c r="C37" s="48"/>
      <c r="D37" s="48"/>
      <c r="E37" s="48"/>
      <c r="F37" s="48"/>
      <c r="G37" s="48"/>
      <c r="H37" s="48"/>
      <c r="I37" s="48"/>
      <c r="J37" s="48"/>
      <c r="K37">
        <f t="shared" si="0"/>
        <v>0</v>
      </c>
    </row>
    <row r="38" spans="1:11" x14ac:dyDescent="0.3">
      <c r="A38" s="47"/>
      <c r="B38" s="47"/>
      <c r="C38" s="48"/>
      <c r="D38" s="48"/>
      <c r="E38" s="51"/>
      <c r="F38" s="48"/>
      <c r="G38" s="51"/>
      <c r="H38" s="48"/>
      <c r="I38" s="48"/>
      <c r="J38" s="48"/>
      <c r="K38">
        <f t="shared" si="0"/>
        <v>0</v>
      </c>
    </row>
    <row r="39" spans="1:11" x14ac:dyDescent="0.3">
      <c r="A39" s="47"/>
      <c r="B39" s="47"/>
      <c r="C39" s="48"/>
      <c r="D39" s="48"/>
      <c r="E39" s="48"/>
      <c r="F39" s="51"/>
      <c r="G39" s="51"/>
      <c r="H39" s="48"/>
      <c r="I39" s="48"/>
      <c r="J39" s="48"/>
      <c r="K39">
        <f t="shared" si="0"/>
        <v>0</v>
      </c>
    </row>
    <row r="40" spans="1:11" x14ac:dyDescent="0.3">
      <c r="A40" s="49"/>
      <c r="B40" s="49"/>
      <c r="C40" s="48"/>
      <c r="D40" s="48"/>
      <c r="E40" s="48"/>
      <c r="F40" s="48"/>
      <c r="G40" s="48"/>
      <c r="H40" s="48"/>
      <c r="I40" s="48"/>
      <c r="J40" s="48"/>
      <c r="K40">
        <f t="shared" si="0"/>
        <v>0</v>
      </c>
    </row>
    <row r="41" spans="1:11" x14ac:dyDescent="0.3">
      <c r="A41" s="47"/>
      <c r="B41" s="47"/>
      <c r="C41" s="48"/>
      <c r="D41" s="48"/>
      <c r="E41" s="48"/>
      <c r="F41" s="48"/>
      <c r="G41" s="48"/>
      <c r="H41" s="48"/>
      <c r="I41" s="48"/>
      <c r="J41" s="48"/>
      <c r="K41">
        <f t="shared" si="0"/>
        <v>0</v>
      </c>
    </row>
    <row r="42" spans="1:11" x14ac:dyDescent="0.3">
      <c r="A42" s="49"/>
      <c r="B42" s="49"/>
      <c r="C42" s="51"/>
      <c r="D42" s="48"/>
      <c r="E42" s="48"/>
      <c r="F42" s="51"/>
      <c r="G42" s="48"/>
      <c r="H42" s="48"/>
      <c r="I42" s="48"/>
      <c r="J42" s="48"/>
      <c r="K42">
        <f t="shared" si="0"/>
        <v>0</v>
      </c>
    </row>
    <row r="43" spans="1:11" x14ac:dyDescent="0.3">
      <c r="A43" s="47"/>
      <c r="B43" s="47"/>
      <c r="C43" s="48"/>
      <c r="D43" s="48"/>
      <c r="E43" s="48"/>
      <c r="F43" s="48"/>
      <c r="G43" s="48"/>
      <c r="H43" s="48"/>
      <c r="I43" s="48"/>
      <c r="J43" s="48"/>
      <c r="K43">
        <f t="shared" si="0"/>
        <v>0</v>
      </c>
    </row>
    <row r="44" spans="1:11" x14ac:dyDescent="0.3">
      <c r="A44" s="47"/>
      <c r="B44" s="47"/>
      <c r="C44" s="48"/>
      <c r="D44" s="48"/>
      <c r="E44" s="48"/>
      <c r="F44" s="48"/>
      <c r="G44" s="48"/>
      <c r="H44" s="48"/>
      <c r="I44" s="48"/>
      <c r="J44" s="48"/>
      <c r="K44">
        <f t="shared" si="0"/>
        <v>0</v>
      </c>
    </row>
    <row r="45" spans="1:11" x14ac:dyDescent="0.3">
      <c r="A45" s="47"/>
      <c r="B45" s="47"/>
      <c r="C45" s="48"/>
      <c r="D45" s="48"/>
      <c r="E45" s="48"/>
      <c r="F45" s="48"/>
      <c r="G45" s="48"/>
      <c r="H45" s="48"/>
      <c r="I45" s="48"/>
      <c r="J45" s="48"/>
      <c r="K45">
        <f t="shared" si="0"/>
        <v>0</v>
      </c>
    </row>
    <row r="46" spans="1:11" x14ac:dyDescent="0.3">
      <c r="A46" s="49"/>
      <c r="B46" s="49"/>
      <c r="C46" s="48"/>
      <c r="D46" s="51"/>
      <c r="E46" s="48"/>
      <c r="F46" s="48"/>
      <c r="G46" s="51"/>
      <c r="H46" s="48"/>
      <c r="I46" s="48"/>
      <c r="J46" s="48"/>
      <c r="K46">
        <f t="shared" si="0"/>
        <v>0</v>
      </c>
    </row>
    <row r="47" spans="1:11" x14ac:dyDescent="0.3">
      <c r="A47" s="49"/>
      <c r="B47" s="49"/>
      <c r="C47" s="48"/>
      <c r="D47" s="48"/>
      <c r="E47" s="48"/>
      <c r="F47" s="48"/>
      <c r="G47" s="48"/>
      <c r="H47" s="48"/>
      <c r="I47" s="48"/>
      <c r="J47" s="48"/>
      <c r="K47">
        <f t="shared" si="0"/>
        <v>0</v>
      </c>
    </row>
    <row r="48" spans="1:11" x14ac:dyDescent="0.3">
      <c r="A48" s="47"/>
      <c r="B48" s="47"/>
      <c r="C48" s="48"/>
      <c r="D48" s="48"/>
      <c r="E48" s="48"/>
      <c r="F48" s="48"/>
      <c r="G48" s="48"/>
      <c r="H48" s="48"/>
      <c r="I48" s="48"/>
      <c r="J48" s="48"/>
      <c r="K48">
        <f t="shared" si="0"/>
        <v>0</v>
      </c>
    </row>
    <row r="49" spans="1:11" x14ac:dyDescent="0.3">
      <c r="A49" s="47"/>
      <c r="B49" s="47"/>
      <c r="C49" s="48"/>
      <c r="D49" s="48"/>
      <c r="E49" s="48"/>
      <c r="F49" s="48"/>
      <c r="G49" s="48"/>
      <c r="H49" s="48"/>
      <c r="I49" s="48"/>
      <c r="J49" s="48"/>
      <c r="K49">
        <f t="shared" si="0"/>
        <v>0</v>
      </c>
    </row>
    <row r="50" spans="1:11" x14ac:dyDescent="0.3">
      <c r="A50" s="49"/>
      <c r="B50" s="49"/>
      <c r="C50" s="48"/>
      <c r="D50" s="48"/>
      <c r="E50" s="48"/>
      <c r="F50" s="48"/>
      <c r="G50" s="48"/>
      <c r="H50" s="48"/>
      <c r="I50" s="48"/>
      <c r="J50" s="48"/>
      <c r="K50">
        <f t="shared" si="0"/>
        <v>0</v>
      </c>
    </row>
    <row r="51" spans="1:11" x14ac:dyDescent="0.3">
      <c r="A51" s="47"/>
      <c r="B51" s="47"/>
      <c r="C51" s="48"/>
      <c r="D51" s="48"/>
      <c r="E51" s="48"/>
      <c r="F51" s="48"/>
      <c r="G51" s="48"/>
      <c r="H51" s="48"/>
      <c r="I51" s="48"/>
      <c r="J51" s="48"/>
      <c r="K51">
        <f t="shared" si="0"/>
        <v>0</v>
      </c>
    </row>
    <row r="52" spans="1:11" x14ac:dyDescent="0.3">
      <c r="A52" s="47"/>
      <c r="B52" s="47"/>
      <c r="C52" s="48"/>
      <c r="D52" s="48"/>
      <c r="E52" s="48"/>
      <c r="F52" s="48"/>
      <c r="G52" s="48"/>
      <c r="H52" s="48"/>
      <c r="I52" s="48"/>
      <c r="J52" s="48"/>
      <c r="K52">
        <f t="shared" si="0"/>
        <v>0</v>
      </c>
    </row>
    <row r="53" spans="1:11" x14ac:dyDescent="0.3">
      <c r="A53" s="47"/>
      <c r="B53" s="47"/>
      <c r="C53" s="48"/>
      <c r="D53" s="48"/>
      <c r="E53" s="48"/>
      <c r="F53" s="48"/>
      <c r="G53" s="48"/>
      <c r="H53" s="48"/>
      <c r="I53" s="48"/>
      <c r="J53" s="48"/>
      <c r="K53">
        <f t="shared" si="0"/>
        <v>0</v>
      </c>
    </row>
    <row r="54" spans="1:11" x14ac:dyDescent="0.3">
      <c r="A54" s="47"/>
      <c r="B54" s="47"/>
      <c r="C54" s="48"/>
      <c r="D54" s="48"/>
      <c r="E54" s="48"/>
      <c r="F54" s="48"/>
      <c r="G54" s="48"/>
      <c r="H54" s="48"/>
      <c r="I54" s="48"/>
      <c r="J54" s="48"/>
      <c r="K54">
        <f t="shared" si="0"/>
        <v>0</v>
      </c>
    </row>
    <row r="55" spans="1:11" x14ac:dyDescent="0.3">
      <c r="A55" s="47"/>
      <c r="B55" s="47"/>
      <c r="C55" s="48"/>
      <c r="D55" s="48"/>
      <c r="E55" s="48"/>
      <c r="F55" s="48"/>
      <c r="G55" s="48"/>
      <c r="H55" s="48"/>
      <c r="I55" s="48"/>
      <c r="J55" s="48"/>
      <c r="K55">
        <f t="shared" si="0"/>
        <v>0</v>
      </c>
    </row>
    <row r="57" spans="1:11" x14ac:dyDescent="0.3">
      <c r="C57">
        <f t="shared" ref="C57:K57" si="1">SUM(C2:C56)</f>
        <v>33</v>
      </c>
      <c r="D57">
        <f>SUM(D2:D56)</f>
        <v>28</v>
      </c>
      <c r="E57">
        <f t="shared" si="1"/>
        <v>0</v>
      </c>
      <c r="F57">
        <f t="shared" si="1"/>
        <v>39</v>
      </c>
      <c r="G57">
        <f t="shared" si="1"/>
        <v>4</v>
      </c>
      <c r="H57">
        <f t="shared" si="1"/>
        <v>0</v>
      </c>
      <c r="I57">
        <f t="shared" si="1"/>
        <v>0</v>
      </c>
      <c r="J57">
        <f t="shared" si="1"/>
        <v>4</v>
      </c>
      <c r="K57" s="53">
        <f t="shared" si="1"/>
        <v>47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87E7-0E33-46E1-904A-11209FE3B6FA}">
  <dimension ref="A1:H33"/>
  <sheetViews>
    <sheetView workbookViewId="0">
      <pane ySplit="1" topLeftCell="A2" activePane="bottomLeft" state="frozen"/>
      <selection pane="bottomLeft" activeCell="C17" sqref="C17"/>
    </sheetView>
  </sheetViews>
  <sheetFormatPr baseColWidth="10" defaultRowHeight="14.4" x14ac:dyDescent="0.3"/>
  <cols>
    <col min="1" max="1" width="15.88671875" customWidth="1"/>
    <col min="2" max="2" width="57.5546875" customWidth="1"/>
    <col min="3" max="8" width="19.109375" customWidth="1"/>
  </cols>
  <sheetData>
    <row r="1" spans="1:8" x14ac:dyDescent="0.3">
      <c r="A1" s="46" t="s">
        <v>45</v>
      </c>
      <c r="B1" s="46"/>
      <c r="C1" s="46" t="s">
        <v>52</v>
      </c>
      <c r="D1" s="46" t="s">
        <v>77</v>
      </c>
      <c r="E1" s="46" t="s">
        <v>48</v>
      </c>
      <c r="F1" s="46" t="s">
        <v>35</v>
      </c>
      <c r="G1" s="46" t="s">
        <v>49</v>
      </c>
      <c r="H1" s="46" t="s">
        <v>36</v>
      </c>
    </row>
    <row r="2" spans="1:8" s="57" customFormat="1" x14ac:dyDescent="0.3">
      <c r="A2" s="43" t="s">
        <v>43</v>
      </c>
      <c r="B2" s="42" t="s">
        <v>44</v>
      </c>
      <c r="C2" s="56"/>
      <c r="D2" s="56"/>
      <c r="E2" s="56"/>
      <c r="F2" s="56"/>
      <c r="G2" s="56">
        <v>1</v>
      </c>
      <c r="H2" s="56"/>
    </row>
    <row r="3" spans="1:8" s="57" customFormat="1" x14ac:dyDescent="0.3">
      <c r="A3" s="45" t="s">
        <v>54</v>
      </c>
      <c r="B3" s="42" t="s">
        <v>63</v>
      </c>
      <c r="C3" s="56"/>
      <c r="D3" s="56"/>
      <c r="E3" s="56"/>
      <c r="F3" s="56">
        <v>1</v>
      </c>
      <c r="G3" s="56">
        <v>1</v>
      </c>
      <c r="H3" s="56"/>
    </row>
    <row r="4" spans="1:8" s="57" customFormat="1" x14ac:dyDescent="0.3">
      <c r="A4" s="45" t="s">
        <v>42</v>
      </c>
      <c r="B4" s="42" t="s">
        <v>65</v>
      </c>
      <c r="C4" s="56"/>
      <c r="D4" s="56"/>
      <c r="E4" s="56"/>
      <c r="F4" s="56">
        <v>1</v>
      </c>
      <c r="G4" s="56"/>
      <c r="H4" s="56"/>
    </row>
    <row r="5" spans="1:8" s="57" customFormat="1" x14ac:dyDescent="0.3">
      <c r="A5" s="45" t="s">
        <v>41</v>
      </c>
      <c r="B5" s="42" t="s">
        <v>65</v>
      </c>
      <c r="C5" s="56"/>
      <c r="D5" s="56"/>
      <c r="E5" s="56"/>
      <c r="F5" s="56">
        <v>1</v>
      </c>
      <c r="G5" s="56"/>
      <c r="H5" s="56"/>
    </row>
    <row r="6" spans="1:8" s="57" customFormat="1" x14ac:dyDescent="0.3">
      <c r="A6" s="45" t="s">
        <v>58</v>
      </c>
      <c r="B6" s="42" t="s">
        <v>65</v>
      </c>
      <c r="C6" s="56"/>
      <c r="D6" s="56"/>
      <c r="E6" s="56"/>
      <c r="F6" s="56"/>
      <c r="G6" s="56"/>
      <c r="H6" s="56">
        <v>1</v>
      </c>
    </row>
    <row r="7" spans="1:8" s="57" customFormat="1" x14ac:dyDescent="0.3">
      <c r="A7" s="45" t="s">
        <v>74</v>
      </c>
      <c r="B7" s="42" t="s">
        <v>75</v>
      </c>
      <c r="C7" s="56"/>
      <c r="D7" s="56">
        <v>1</v>
      </c>
      <c r="E7" s="56"/>
      <c r="F7" s="56"/>
      <c r="G7" s="56"/>
      <c r="H7" s="56"/>
    </row>
    <row r="8" spans="1:8" s="57" customFormat="1" x14ac:dyDescent="0.3">
      <c r="A8" s="45" t="s">
        <v>79</v>
      </c>
      <c r="B8" s="42" t="s">
        <v>80</v>
      </c>
      <c r="C8" s="56"/>
      <c r="D8" s="56"/>
      <c r="E8" s="56"/>
      <c r="F8" s="56">
        <v>1</v>
      </c>
      <c r="G8" s="56"/>
      <c r="H8" s="56"/>
    </row>
    <row r="9" spans="1:8" s="57" customFormat="1" x14ac:dyDescent="0.3">
      <c r="A9" s="42" t="s">
        <v>83</v>
      </c>
      <c r="B9" s="42" t="s">
        <v>84</v>
      </c>
      <c r="C9" s="56"/>
      <c r="D9" s="56"/>
      <c r="E9" s="56"/>
      <c r="F9" s="56"/>
      <c r="G9" s="56"/>
      <c r="H9" s="56"/>
    </row>
    <row r="10" spans="1:8" s="57" customFormat="1" x14ac:dyDescent="0.3">
      <c r="A10" s="45" t="s">
        <v>87</v>
      </c>
      <c r="B10" s="42" t="s">
        <v>88</v>
      </c>
      <c r="C10" s="56"/>
      <c r="D10" s="56"/>
      <c r="E10" s="56"/>
      <c r="F10" s="56"/>
      <c r="G10" s="56"/>
      <c r="H10" s="56"/>
    </row>
    <row r="11" spans="1:8" s="57" customFormat="1" x14ac:dyDescent="0.3">
      <c r="A11" s="45" t="s">
        <v>89</v>
      </c>
      <c r="B11" s="42" t="s">
        <v>90</v>
      </c>
      <c r="C11" s="56"/>
      <c r="D11" s="56"/>
      <c r="E11" s="56"/>
      <c r="F11" s="56"/>
      <c r="G11" s="56">
        <v>1</v>
      </c>
      <c r="H11" s="56"/>
    </row>
    <row r="12" spans="1:8" s="57" customFormat="1" x14ac:dyDescent="0.3">
      <c r="A12" s="45" t="s">
        <v>93</v>
      </c>
      <c r="B12" s="42" t="s">
        <v>94</v>
      </c>
      <c r="C12" s="56"/>
      <c r="D12" s="56"/>
      <c r="E12" s="56"/>
      <c r="F12" s="56">
        <v>1</v>
      </c>
      <c r="G12" s="56"/>
      <c r="H12" s="56"/>
    </row>
    <row r="13" spans="1:8" s="57" customFormat="1" x14ac:dyDescent="0.3">
      <c r="A13" s="58" t="s">
        <v>57</v>
      </c>
      <c r="B13" s="42" t="s">
        <v>97</v>
      </c>
      <c r="C13" s="56"/>
      <c r="D13" s="56"/>
      <c r="E13" s="56">
        <v>1</v>
      </c>
      <c r="F13" s="56"/>
      <c r="G13" s="56"/>
      <c r="H13" s="56"/>
    </row>
    <row r="14" spans="1:8" s="57" customFormat="1" x14ac:dyDescent="0.3">
      <c r="A14" s="58" t="s">
        <v>100</v>
      </c>
      <c r="B14" s="42" t="s">
        <v>101</v>
      </c>
      <c r="C14" s="56"/>
      <c r="D14" s="56"/>
      <c r="E14" s="56"/>
      <c r="F14" s="56"/>
      <c r="G14" s="56"/>
      <c r="H14" s="56"/>
    </row>
    <row r="15" spans="1:8" s="57" customFormat="1" x14ac:dyDescent="0.3">
      <c r="A15" s="59" t="s">
        <v>105</v>
      </c>
      <c r="B15" s="42" t="s">
        <v>106</v>
      </c>
      <c r="C15" s="56"/>
      <c r="D15" s="56"/>
      <c r="E15" s="56"/>
      <c r="F15" s="56"/>
      <c r="G15" s="56"/>
      <c r="H15" s="56">
        <v>1</v>
      </c>
    </row>
    <row r="16" spans="1:8" s="57" customFormat="1" x14ac:dyDescent="0.3">
      <c r="A16" s="59" t="s">
        <v>60</v>
      </c>
      <c r="B16" s="42" t="s">
        <v>110</v>
      </c>
      <c r="C16" s="56"/>
      <c r="D16" s="56"/>
      <c r="E16" s="56"/>
      <c r="F16" s="56"/>
      <c r="G16" s="56"/>
      <c r="H16" s="56">
        <v>1</v>
      </c>
    </row>
    <row r="17" spans="1:8" s="57" customFormat="1" x14ac:dyDescent="0.3">
      <c r="A17" s="45" t="s">
        <v>113</v>
      </c>
      <c r="B17" s="42" t="s">
        <v>109</v>
      </c>
      <c r="C17" s="56"/>
      <c r="D17" s="56"/>
      <c r="E17" s="56"/>
      <c r="F17" s="56"/>
      <c r="G17" s="56"/>
      <c r="H17" s="56"/>
    </row>
    <row r="18" spans="1:8" s="57" customFormat="1" x14ac:dyDescent="0.3">
      <c r="A18" s="42" t="s">
        <v>83</v>
      </c>
      <c r="B18" s="42" t="s">
        <v>114</v>
      </c>
      <c r="C18" s="56"/>
      <c r="D18" s="56"/>
      <c r="E18" s="56"/>
      <c r="F18" s="56"/>
      <c r="G18" s="56"/>
      <c r="H18" s="56"/>
    </row>
    <row r="19" spans="1:8" s="57" customFormat="1" x14ac:dyDescent="0.3">
      <c r="A19" s="45" t="s">
        <v>115</v>
      </c>
      <c r="B19" s="42" t="s">
        <v>44</v>
      </c>
      <c r="C19" s="56">
        <v>1</v>
      </c>
      <c r="D19" s="56"/>
      <c r="E19" s="56"/>
      <c r="F19" s="56"/>
      <c r="G19" s="56"/>
      <c r="H19" s="56"/>
    </row>
    <row r="20" spans="1:8" s="57" customFormat="1" x14ac:dyDescent="0.3">
      <c r="A20" s="42" t="s">
        <v>116</v>
      </c>
      <c r="B20" s="42" t="s">
        <v>117</v>
      </c>
      <c r="C20" s="56"/>
      <c r="D20" s="56"/>
      <c r="E20" s="56"/>
      <c r="F20" s="56"/>
      <c r="G20" s="56"/>
      <c r="H20" s="56"/>
    </row>
    <row r="21" spans="1:8" s="57" customFormat="1" x14ac:dyDescent="0.3">
      <c r="A21" s="42" t="s">
        <v>120</v>
      </c>
      <c r="B21" s="42" t="s">
        <v>121</v>
      </c>
      <c r="C21" s="56"/>
      <c r="D21" s="56"/>
      <c r="E21" s="56"/>
      <c r="F21" s="56"/>
      <c r="G21" s="56"/>
      <c r="H21" s="56"/>
    </row>
    <row r="22" spans="1:8" s="57" customFormat="1" x14ac:dyDescent="0.3">
      <c r="A22" s="47"/>
      <c r="B22" s="47"/>
      <c r="C22" s="56"/>
      <c r="D22" s="56"/>
      <c r="E22" s="56"/>
      <c r="F22" s="56"/>
      <c r="G22" s="56"/>
      <c r="H22" s="56"/>
    </row>
    <row r="23" spans="1:8" s="57" customFormat="1" x14ac:dyDescent="0.3">
      <c r="A23" s="47"/>
      <c r="B23" s="47"/>
      <c r="C23" s="56"/>
      <c r="D23" s="56"/>
      <c r="E23" s="56"/>
      <c r="F23" s="56"/>
      <c r="G23" s="56"/>
      <c r="H23" s="56"/>
    </row>
    <row r="24" spans="1:8" s="57" customFormat="1" x14ac:dyDescent="0.3">
      <c r="A24" s="47"/>
      <c r="B24" s="47"/>
      <c r="C24" s="56"/>
      <c r="D24" s="56"/>
      <c r="E24" s="56"/>
      <c r="F24" s="56"/>
      <c r="G24" s="56"/>
      <c r="H24" s="56"/>
    </row>
    <row r="25" spans="1:8" s="57" customFormat="1" x14ac:dyDescent="0.3">
      <c r="A25" s="47"/>
      <c r="B25" s="47"/>
      <c r="C25" s="56"/>
      <c r="D25" s="56"/>
      <c r="E25" s="56"/>
      <c r="F25" s="56"/>
      <c r="G25" s="56"/>
      <c r="H25" s="56"/>
    </row>
    <row r="26" spans="1:8" s="57" customFormat="1" x14ac:dyDescent="0.3">
      <c r="A26" s="47"/>
      <c r="B26" s="47"/>
      <c r="C26" s="56"/>
      <c r="D26" s="56"/>
      <c r="E26" s="56"/>
      <c r="F26" s="56"/>
      <c r="G26" s="56"/>
      <c r="H26" s="56"/>
    </row>
    <row r="27" spans="1:8" s="57" customFormat="1" x14ac:dyDescent="0.3">
      <c r="A27" s="47"/>
      <c r="B27" s="47"/>
      <c r="C27" s="56"/>
      <c r="D27" s="56"/>
      <c r="E27" s="56"/>
      <c r="F27" s="56"/>
      <c r="G27" s="56"/>
      <c r="H27" s="56"/>
    </row>
    <row r="28" spans="1:8" s="57" customFormat="1" x14ac:dyDescent="0.3">
      <c r="A28" s="47"/>
      <c r="B28" s="47"/>
      <c r="C28" s="56"/>
      <c r="D28" s="56"/>
      <c r="E28" s="56"/>
      <c r="F28" s="56"/>
      <c r="G28" s="56"/>
      <c r="H28" s="56"/>
    </row>
    <row r="29" spans="1:8" s="57" customFormat="1" x14ac:dyDescent="0.3">
      <c r="A29" s="47"/>
      <c r="B29" s="47"/>
      <c r="C29" s="56"/>
      <c r="D29" s="56"/>
      <c r="E29" s="56"/>
      <c r="F29" s="56"/>
      <c r="G29" s="56"/>
      <c r="H29" s="56"/>
    </row>
    <row r="30" spans="1:8" s="57" customFormat="1" x14ac:dyDescent="0.3">
      <c r="A30" s="47"/>
      <c r="B30" s="47"/>
      <c r="C30" s="56"/>
      <c r="D30" s="56"/>
      <c r="E30" s="56"/>
      <c r="F30" s="56"/>
      <c r="G30" s="56"/>
      <c r="H30" s="56"/>
    </row>
    <row r="31" spans="1:8" s="57" customFormat="1" x14ac:dyDescent="0.3">
      <c r="A31" s="47"/>
      <c r="B31" s="47"/>
      <c r="C31" s="56"/>
      <c r="D31" s="56"/>
      <c r="E31" s="56"/>
      <c r="F31" s="56"/>
      <c r="G31" s="56"/>
      <c r="H31" s="56"/>
    </row>
    <row r="32" spans="1:8" x14ac:dyDescent="0.3">
      <c r="A32" s="47"/>
      <c r="B32" s="47"/>
      <c r="C32" s="54"/>
      <c r="D32" s="54"/>
      <c r="E32" s="54"/>
      <c r="F32" s="54"/>
      <c r="G32" s="54"/>
      <c r="H32" s="54"/>
    </row>
    <row r="33" spans="1:8" x14ac:dyDescent="0.3">
      <c r="A33" s="47"/>
      <c r="B33" s="47"/>
      <c r="C33" s="54"/>
      <c r="D33" s="54"/>
      <c r="E33" s="54"/>
      <c r="F33" s="54"/>
      <c r="G33" s="54"/>
      <c r="H33" s="54"/>
    </row>
  </sheetData>
  <hyperlinks>
    <hyperlink ref="A2" r:id="rId1" location="'OP38 SEP'!A1" xr:uid="{3E96AE34-223F-443B-B9FB-D7BC572B2C48}"/>
    <hyperlink ref="A3" r:id="rId2" location="'OP33-35 SEP'!A1" xr:uid="{536A36C8-3333-4A52-AE94-859A32D33D71}"/>
    <hyperlink ref="A7" r:id="rId3" location="'OP30 SEP'!A1" xr:uid="{9014D583-B467-4632-B953-39AF3DC65FCA}"/>
    <hyperlink ref="A5" r:id="rId4" location="'OP27 AGO'!A1" xr:uid="{A7F2A947-B85A-437B-99C6-D97507652C95}"/>
    <hyperlink ref="A4" r:id="rId5" location="'OP26 AGO'!A1" xr:uid="{A50EC73D-D28F-495F-B416-7D416F7B51C0}"/>
    <hyperlink ref="A8" r:id="rId6" location="'OP48 SEP'!A1" xr:uid="{6668C4CB-6CFB-4E77-B6AE-07E5FD6871CA}"/>
    <hyperlink ref="A11" r:id="rId7" location="'OP37-01 SEP'!A1" xr:uid="{916A27B6-8F35-4C5C-A7F3-78152EA92827}"/>
    <hyperlink ref="A12" r:id="rId8" location="'OP26 SEP'!A1" xr:uid="{93DF28D2-B371-480E-8A81-6C44BBF5A37B}"/>
    <hyperlink ref="A13" r:id="rId9" location="'OP44 SEP'!A1" xr:uid="{C5859083-085D-4C38-A066-FB16CE672D68}"/>
    <hyperlink ref="A14" r:id="rId10" location="'OP61 SEP'!A1" xr:uid="{79E9FBE9-3B72-4715-9BB5-083E77DB3AD0}"/>
    <hyperlink ref="A6" r:id="rId11" location="'OP29 AGO'!A1" xr:uid="{519AF524-C8EC-4BE2-A953-89EBF4EFBCAF}"/>
    <hyperlink ref="A17" r:id="rId12" location="'OP10 OCT'!A1" xr:uid="{11009620-C706-4624-89FF-F42369DD7655}"/>
    <hyperlink ref="A10" r:id="rId13" location="'OP34 SEP'!A1" xr:uid="{0D9A697C-516F-4936-BFE6-71B791CFEA34}"/>
    <hyperlink ref="A19" r:id="rId14" location="'OP40-41 SEP'!A1" xr:uid="{EAF1D605-2A7E-4E0F-B9B1-8C681B085E7D}"/>
  </hyperlinks>
  <pageMargins left="0.7" right="0.7" top="0.75" bottom="0.75" header="0.3" footer="0.3"/>
  <legacy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4D5B-95C9-4307-8AC6-78008876718E}">
  <dimension ref="A1:I210"/>
  <sheetViews>
    <sheetView workbookViewId="0">
      <pane ySplit="1" topLeftCell="A2" activePane="bottomLeft" state="frozen"/>
      <selection pane="bottomLeft" activeCell="E73" sqref="E73"/>
    </sheetView>
  </sheetViews>
  <sheetFormatPr baseColWidth="10" defaultRowHeight="14.4" x14ac:dyDescent="0.3"/>
  <cols>
    <col min="1" max="3" width="17.33203125" style="83" customWidth="1"/>
    <col min="4" max="4" width="19.5546875" style="83" customWidth="1"/>
    <col min="5" max="5" width="17.33203125" style="83" customWidth="1"/>
    <col min="6" max="6" width="30" style="52" customWidth="1"/>
    <col min="7" max="7" width="40" customWidth="1"/>
    <col min="8" max="8" width="22.88671875" customWidth="1"/>
  </cols>
  <sheetData>
    <row r="1" spans="1:9" ht="24.75" customHeight="1" thickBot="1" x14ac:dyDescent="0.35">
      <c r="A1" s="63" t="s">
        <v>123</v>
      </c>
      <c r="B1" s="64" t="s">
        <v>124</v>
      </c>
      <c r="C1" s="63" t="s">
        <v>125</v>
      </c>
      <c r="D1" s="64" t="s">
        <v>126</v>
      </c>
      <c r="E1" s="63" t="s">
        <v>127</v>
      </c>
      <c r="F1" s="65" t="s">
        <v>128</v>
      </c>
      <c r="G1" s="66" t="s">
        <v>30</v>
      </c>
    </row>
    <row r="2" spans="1:9" ht="15" thickBot="1" x14ac:dyDescent="0.35">
      <c r="A2" s="67">
        <v>46296</v>
      </c>
      <c r="B2" s="68"/>
      <c r="C2" s="68"/>
      <c r="D2" s="68"/>
      <c r="E2" s="68"/>
      <c r="F2" s="68"/>
      <c r="G2" s="69"/>
      <c r="H2" s="70" t="s">
        <v>129</v>
      </c>
      <c r="I2" s="71"/>
    </row>
    <row r="3" spans="1:9" x14ac:dyDescent="0.3">
      <c r="A3" s="72" t="s">
        <v>130</v>
      </c>
      <c r="B3" s="72">
        <v>3</v>
      </c>
      <c r="C3" s="72">
        <v>5556</v>
      </c>
      <c r="D3" s="72" t="s">
        <v>131</v>
      </c>
      <c r="E3" s="72" t="s">
        <v>132</v>
      </c>
      <c r="F3" s="73" t="s">
        <v>133</v>
      </c>
      <c r="G3" s="42" t="s">
        <v>134</v>
      </c>
      <c r="H3" s="74" t="s">
        <v>127</v>
      </c>
      <c r="I3" s="75" t="s">
        <v>135</v>
      </c>
    </row>
    <row r="4" spans="1:9" x14ac:dyDescent="0.3">
      <c r="A4" s="76" t="s">
        <v>136</v>
      </c>
      <c r="B4" s="76">
        <f>SUM(B3)</f>
        <v>3</v>
      </c>
      <c r="C4" s="72"/>
      <c r="D4" s="72"/>
      <c r="E4" s="72"/>
      <c r="F4" s="73"/>
      <c r="G4" s="42"/>
      <c r="H4" s="77" t="s">
        <v>132</v>
      </c>
      <c r="I4" s="72">
        <f xml:space="preserve"> SUMIF(E:E, "JUAN",B:B)</f>
        <v>12</v>
      </c>
    </row>
    <row r="5" spans="1:9" x14ac:dyDescent="0.3">
      <c r="A5" s="72" t="s">
        <v>137</v>
      </c>
      <c r="B5" s="72">
        <v>1</v>
      </c>
      <c r="C5" s="72">
        <v>3333</v>
      </c>
      <c r="D5" s="72" t="s">
        <v>138</v>
      </c>
      <c r="E5" s="72" t="s">
        <v>139</v>
      </c>
      <c r="F5" s="73" t="s">
        <v>140</v>
      </c>
      <c r="G5" s="42" t="s">
        <v>141</v>
      </c>
      <c r="H5" s="77" t="s">
        <v>139</v>
      </c>
      <c r="I5" s="72">
        <f xml:space="preserve"> SUMIF(E:E, "BRYAN",B:B)</f>
        <v>38</v>
      </c>
    </row>
    <row r="6" spans="1:9" x14ac:dyDescent="0.3">
      <c r="A6" s="72" t="s">
        <v>83</v>
      </c>
      <c r="B6" s="72">
        <v>4</v>
      </c>
      <c r="C6" s="72">
        <v>1205</v>
      </c>
      <c r="D6" s="72" t="s">
        <v>142</v>
      </c>
      <c r="E6" s="72" t="s">
        <v>139</v>
      </c>
      <c r="F6" s="73" t="s">
        <v>143</v>
      </c>
      <c r="G6" s="42"/>
      <c r="H6" s="77" t="s">
        <v>50</v>
      </c>
      <c r="I6" s="72">
        <f xml:space="preserve"> SUMIF(E:E, "ALEXANDER",B:B)</f>
        <v>30.5</v>
      </c>
    </row>
    <row r="7" spans="1:9" x14ac:dyDescent="0.3">
      <c r="A7" s="76" t="s">
        <v>136</v>
      </c>
      <c r="B7" s="76">
        <f>SUM(B5:B6)</f>
        <v>5</v>
      </c>
      <c r="C7" s="72"/>
      <c r="D7" s="72"/>
      <c r="E7" s="72"/>
      <c r="F7" s="73"/>
      <c r="G7" s="42"/>
      <c r="H7" s="78" t="s">
        <v>144</v>
      </c>
      <c r="I7" s="72">
        <f xml:space="preserve"> SUMIF(E:E, "JUAN-BRYAN",B:B)</f>
        <v>0</v>
      </c>
    </row>
    <row r="8" spans="1:9" x14ac:dyDescent="0.3">
      <c r="A8" s="72"/>
      <c r="B8" s="72"/>
      <c r="C8" s="72"/>
      <c r="D8" s="72"/>
      <c r="E8" s="72"/>
      <c r="F8" s="73"/>
      <c r="G8" s="42"/>
      <c r="H8" s="78" t="s">
        <v>145</v>
      </c>
      <c r="I8" s="72">
        <f xml:space="preserve"> SUMIF(E:E, "ALEXANDER-BRYAN",B:B)</f>
        <v>0</v>
      </c>
    </row>
    <row r="9" spans="1:9" x14ac:dyDescent="0.3">
      <c r="A9" s="67">
        <v>46297</v>
      </c>
      <c r="B9" s="79"/>
      <c r="C9" s="79"/>
      <c r="D9" s="79"/>
      <c r="E9" s="79"/>
      <c r="F9" s="79"/>
      <c r="G9" s="80"/>
    </row>
    <row r="10" spans="1:9" x14ac:dyDescent="0.3">
      <c r="A10" s="72" t="s">
        <v>146</v>
      </c>
      <c r="B10" s="72">
        <v>2</v>
      </c>
      <c r="C10" s="72">
        <v>1667</v>
      </c>
      <c r="D10" s="72" t="s">
        <v>138</v>
      </c>
      <c r="E10" s="72" t="s">
        <v>139</v>
      </c>
      <c r="F10" s="73" t="s">
        <v>147</v>
      </c>
      <c r="G10" s="42"/>
    </row>
    <row r="11" spans="1:9" ht="15" thickBot="1" x14ac:dyDescent="0.35">
      <c r="A11" s="72" t="s">
        <v>83</v>
      </c>
      <c r="B11" s="72">
        <v>1</v>
      </c>
      <c r="C11" s="72">
        <v>1205</v>
      </c>
      <c r="D11" s="72" t="s">
        <v>142</v>
      </c>
      <c r="E11" s="72" t="s">
        <v>139</v>
      </c>
      <c r="F11" s="73" t="s">
        <v>143</v>
      </c>
      <c r="G11" s="42"/>
    </row>
    <row r="12" spans="1:9" ht="15" thickBot="1" x14ac:dyDescent="0.35">
      <c r="A12" s="76" t="s">
        <v>136</v>
      </c>
      <c r="B12" s="76">
        <f>SUM(B10:B11)</f>
        <v>3</v>
      </c>
      <c r="C12" s="72"/>
      <c r="D12" s="72"/>
      <c r="E12" s="72"/>
      <c r="F12" s="73"/>
      <c r="G12" s="42"/>
      <c r="H12" s="70" t="s">
        <v>148</v>
      </c>
      <c r="I12" s="71"/>
    </row>
    <row r="13" spans="1:9" x14ac:dyDescent="0.3">
      <c r="A13" s="72" t="s">
        <v>149</v>
      </c>
      <c r="B13" s="72">
        <v>2</v>
      </c>
      <c r="C13" s="72">
        <v>5556</v>
      </c>
      <c r="D13" s="72" t="s">
        <v>150</v>
      </c>
      <c r="E13" s="72" t="s">
        <v>50</v>
      </c>
      <c r="F13" s="73" t="s">
        <v>133</v>
      </c>
      <c r="G13" s="42"/>
      <c r="H13" s="81" t="s">
        <v>127</v>
      </c>
      <c r="I13" s="75" t="s">
        <v>135</v>
      </c>
    </row>
    <row r="14" spans="1:9" x14ac:dyDescent="0.3">
      <c r="A14" s="76" t="s">
        <v>136</v>
      </c>
      <c r="B14" s="76">
        <f>SUM(B13)</f>
        <v>2</v>
      </c>
      <c r="C14" s="72"/>
      <c r="D14" s="72"/>
      <c r="E14" s="72"/>
      <c r="F14" s="73"/>
      <c r="G14" s="42"/>
      <c r="H14" s="78" t="s">
        <v>132</v>
      </c>
      <c r="I14" s="72">
        <f xml:space="preserve"> SUMIF(E:E, "JUAN-VELADA",B:B)</f>
        <v>60</v>
      </c>
    </row>
    <row r="15" spans="1:9" x14ac:dyDescent="0.3">
      <c r="A15" s="72" t="s">
        <v>149</v>
      </c>
      <c r="B15" s="72">
        <v>1</v>
      </c>
      <c r="C15" s="72">
        <v>5200</v>
      </c>
      <c r="D15" s="72" t="s">
        <v>150</v>
      </c>
      <c r="E15" s="72" t="s">
        <v>132</v>
      </c>
      <c r="F15" s="73" t="s">
        <v>133</v>
      </c>
      <c r="G15" s="42"/>
      <c r="H15" s="78" t="s">
        <v>50</v>
      </c>
      <c r="I15" s="72">
        <f xml:space="preserve"> SUMIF(E:E, "ALEXANDER-VELADA",B:B)</f>
        <v>0</v>
      </c>
    </row>
    <row r="16" spans="1:9" x14ac:dyDescent="0.3">
      <c r="A16" s="72" t="s">
        <v>149</v>
      </c>
      <c r="B16" s="72">
        <v>1</v>
      </c>
      <c r="C16" s="72">
        <v>3055</v>
      </c>
      <c r="D16" s="72" t="s">
        <v>151</v>
      </c>
      <c r="E16" s="72" t="s">
        <v>132</v>
      </c>
      <c r="F16" s="73" t="s">
        <v>133</v>
      </c>
      <c r="G16" s="42"/>
    </row>
    <row r="17" spans="1:7" x14ac:dyDescent="0.3">
      <c r="A17" s="72" t="s">
        <v>149</v>
      </c>
      <c r="B17" s="72">
        <v>1</v>
      </c>
      <c r="C17" s="72">
        <v>2495</v>
      </c>
      <c r="D17" s="72" t="s">
        <v>151</v>
      </c>
      <c r="E17" s="72" t="s">
        <v>132</v>
      </c>
      <c r="F17" s="73" t="s">
        <v>133</v>
      </c>
      <c r="G17" s="42"/>
    </row>
    <row r="18" spans="1:7" x14ac:dyDescent="0.3">
      <c r="A18" s="72" t="s">
        <v>149</v>
      </c>
      <c r="B18" s="72">
        <v>2</v>
      </c>
      <c r="C18" s="72">
        <v>5556</v>
      </c>
      <c r="D18" s="72" t="s">
        <v>151</v>
      </c>
      <c r="E18" s="72" t="s">
        <v>132</v>
      </c>
      <c r="F18" s="73" t="s">
        <v>133</v>
      </c>
      <c r="G18" s="42"/>
    </row>
    <row r="19" spans="1:7" x14ac:dyDescent="0.3">
      <c r="A19" s="76" t="s">
        <v>136</v>
      </c>
      <c r="B19" s="76">
        <f>SUM(B15:B18)</f>
        <v>5</v>
      </c>
      <c r="C19" s="72"/>
      <c r="D19" s="72"/>
      <c r="E19" s="72"/>
      <c r="F19" s="73"/>
      <c r="G19" s="42"/>
    </row>
    <row r="20" spans="1:7" x14ac:dyDescent="0.3">
      <c r="A20" s="67">
        <v>46298</v>
      </c>
      <c r="B20" s="79"/>
      <c r="C20" s="79"/>
      <c r="D20" s="79"/>
      <c r="E20" s="79"/>
      <c r="F20" s="79"/>
      <c r="G20" s="80"/>
    </row>
    <row r="21" spans="1:7" x14ac:dyDescent="0.3">
      <c r="A21" s="72" t="s">
        <v>152</v>
      </c>
      <c r="B21" s="72">
        <v>1</v>
      </c>
      <c r="C21" s="72">
        <v>3333</v>
      </c>
      <c r="D21" s="72" t="s">
        <v>153</v>
      </c>
      <c r="E21" s="72" t="s">
        <v>132</v>
      </c>
      <c r="F21" s="73" t="s">
        <v>154</v>
      </c>
      <c r="G21" s="42" t="s">
        <v>155</v>
      </c>
    </row>
    <row r="22" spans="1:7" x14ac:dyDescent="0.3">
      <c r="A22" s="72" t="s">
        <v>152</v>
      </c>
      <c r="B22" s="72">
        <v>1</v>
      </c>
      <c r="C22" s="72">
        <v>3333</v>
      </c>
      <c r="D22" s="72" t="s">
        <v>156</v>
      </c>
      <c r="E22" s="72" t="s">
        <v>132</v>
      </c>
      <c r="F22" s="73" t="s">
        <v>154</v>
      </c>
      <c r="G22" s="42"/>
    </row>
    <row r="23" spans="1:7" x14ac:dyDescent="0.3">
      <c r="A23" s="72" t="s">
        <v>157</v>
      </c>
      <c r="B23" s="72">
        <v>1</v>
      </c>
      <c r="C23" s="72">
        <v>16667</v>
      </c>
      <c r="D23" s="72" t="s">
        <v>158</v>
      </c>
      <c r="E23" s="72" t="s">
        <v>132</v>
      </c>
      <c r="F23" s="73" t="s">
        <v>159</v>
      </c>
      <c r="G23" s="42"/>
    </row>
    <row r="24" spans="1:7" x14ac:dyDescent="0.3">
      <c r="A24" s="72" t="s">
        <v>160</v>
      </c>
      <c r="B24" s="72">
        <v>1</v>
      </c>
      <c r="C24" s="72">
        <v>1333</v>
      </c>
      <c r="D24" s="72" t="s">
        <v>161</v>
      </c>
      <c r="E24" s="72" t="s">
        <v>132</v>
      </c>
      <c r="F24" s="73" t="s">
        <v>159</v>
      </c>
      <c r="G24" s="42"/>
    </row>
    <row r="25" spans="1:7" x14ac:dyDescent="0.3">
      <c r="A25" s="76" t="s">
        <v>136</v>
      </c>
      <c r="B25" s="76">
        <f>SUM(B21:B24)</f>
        <v>4</v>
      </c>
      <c r="C25" s="72"/>
      <c r="D25" s="72"/>
      <c r="E25" s="72"/>
      <c r="F25" s="73"/>
      <c r="G25" s="42"/>
    </row>
    <row r="26" spans="1:7" x14ac:dyDescent="0.3">
      <c r="A26" s="67">
        <v>46300</v>
      </c>
      <c r="B26" s="79"/>
      <c r="C26" s="79"/>
      <c r="D26" s="79"/>
      <c r="E26" s="79"/>
      <c r="F26" s="79"/>
      <c r="G26" s="80"/>
    </row>
    <row r="27" spans="1:7" x14ac:dyDescent="0.3">
      <c r="A27" s="72" t="s">
        <v>130</v>
      </c>
      <c r="B27" s="72">
        <v>1</v>
      </c>
      <c r="C27" s="72">
        <v>5437</v>
      </c>
      <c r="D27" s="72" t="s">
        <v>162</v>
      </c>
      <c r="E27" s="72" t="s">
        <v>50</v>
      </c>
      <c r="F27" s="73" t="s">
        <v>133</v>
      </c>
      <c r="G27" s="42"/>
    </row>
    <row r="28" spans="1:7" x14ac:dyDescent="0.3">
      <c r="A28" s="72" t="s">
        <v>130</v>
      </c>
      <c r="B28" s="72">
        <v>1</v>
      </c>
      <c r="C28" s="72">
        <v>5556</v>
      </c>
      <c r="D28" s="72" t="s">
        <v>162</v>
      </c>
      <c r="E28" s="72" t="s">
        <v>50</v>
      </c>
      <c r="F28" s="73" t="s">
        <v>133</v>
      </c>
      <c r="G28" s="42"/>
    </row>
    <row r="29" spans="1:7" x14ac:dyDescent="0.3">
      <c r="A29" s="72" t="s">
        <v>130</v>
      </c>
      <c r="B29" s="72">
        <v>1</v>
      </c>
      <c r="C29" s="72">
        <v>3717</v>
      </c>
      <c r="D29" s="72" t="s">
        <v>162</v>
      </c>
      <c r="E29" s="72" t="s">
        <v>50</v>
      </c>
      <c r="F29" s="73" t="s">
        <v>133</v>
      </c>
      <c r="G29" s="42"/>
    </row>
    <row r="30" spans="1:7" x14ac:dyDescent="0.3">
      <c r="A30" s="72" t="s">
        <v>130</v>
      </c>
      <c r="B30" s="72">
        <v>1</v>
      </c>
      <c r="C30" s="72">
        <v>1839</v>
      </c>
      <c r="D30" s="72" t="s">
        <v>162</v>
      </c>
      <c r="E30" s="72" t="s">
        <v>50</v>
      </c>
      <c r="F30" s="73" t="s">
        <v>133</v>
      </c>
      <c r="G30" s="42"/>
    </row>
    <row r="31" spans="1:7" x14ac:dyDescent="0.3">
      <c r="A31" s="72" t="s">
        <v>87</v>
      </c>
      <c r="B31" s="72">
        <v>1</v>
      </c>
      <c r="C31" s="72">
        <v>2128</v>
      </c>
      <c r="D31" s="72" t="s">
        <v>163</v>
      </c>
      <c r="E31" s="72" t="s">
        <v>50</v>
      </c>
      <c r="F31" s="73" t="s">
        <v>88</v>
      </c>
      <c r="G31" s="42"/>
    </row>
    <row r="32" spans="1:7" x14ac:dyDescent="0.3">
      <c r="A32" s="76" t="s">
        <v>136</v>
      </c>
      <c r="B32" s="76">
        <f>SUM(B27:B31)</f>
        <v>5</v>
      </c>
      <c r="C32" s="72"/>
      <c r="D32" s="72"/>
      <c r="E32" s="72"/>
      <c r="F32" s="73"/>
      <c r="G32" s="42"/>
    </row>
    <row r="33" spans="1:7" x14ac:dyDescent="0.3">
      <c r="A33" s="72" t="s">
        <v>157</v>
      </c>
      <c r="B33" s="72">
        <v>2</v>
      </c>
      <c r="C33" s="72">
        <v>16667</v>
      </c>
      <c r="D33" s="72" t="s">
        <v>162</v>
      </c>
      <c r="E33" s="72" t="s">
        <v>139</v>
      </c>
      <c r="F33" s="73" t="s">
        <v>159</v>
      </c>
      <c r="G33" s="42"/>
    </row>
    <row r="34" spans="1:7" x14ac:dyDescent="0.3">
      <c r="A34" s="72" t="s">
        <v>160</v>
      </c>
      <c r="B34" s="72">
        <v>1</v>
      </c>
      <c r="C34" s="72">
        <v>13333</v>
      </c>
      <c r="D34" s="72" t="s">
        <v>164</v>
      </c>
      <c r="E34" s="72" t="s">
        <v>139</v>
      </c>
      <c r="F34" s="73" t="s">
        <v>159</v>
      </c>
      <c r="G34" s="42"/>
    </row>
    <row r="35" spans="1:7" x14ac:dyDescent="0.3">
      <c r="A35" s="72" t="s">
        <v>83</v>
      </c>
      <c r="B35" s="72">
        <v>3</v>
      </c>
      <c r="C35" s="72">
        <v>1205</v>
      </c>
      <c r="D35" s="72" t="s">
        <v>142</v>
      </c>
      <c r="E35" s="72" t="s">
        <v>139</v>
      </c>
      <c r="F35" s="73" t="s">
        <v>143</v>
      </c>
      <c r="G35" s="42"/>
    </row>
    <row r="36" spans="1:7" x14ac:dyDescent="0.3">
      <c r="A36" s="72" t="s">
        <v>57</v>
      </c>
      <c r="B36" s="72">
        <v>4</v>
      </c>
      <c r="C36" s="72">
        <v>2811</v>
      </c>
      <c r="D36" s="72" t="s">
        <v>142</v>
      </c>
      <c r="E36" s="72" t="s">
        <v>139</v>
      </c>
      <c r="F36" s="73" t="s">
        <v>165</v>
      </c>
      <c r="G36" s="42"/>
    </row>
    <row r="37" spans="1:7" x14ac:dyDescent="0.3">
      <c r="A37" s="76" t="s">
        <v>136</v>
      </c>
      <c r="B37" s="76">
        <f>SUM(B33:B36)</f>
        <v>10</v>
      </c>
      <c r="C37" s="72"/>
      <c r="D37" s="72"/>
      <c r="E37" s="72"/>
      <c r="F37" s="73"/>
      <c r="G37" s="42"/>
    </row>
    <row r="38" spans="1:7" x14ac:dyDescent="0.3">
      <c r="A38" s="72" t="s">
        <v>166</v>
      </c>
      <c r="B38" s="72">
        <v>2</v>
      </c>
      <c r="C38" s="72">
        <v>663</v>
      </c>
      <c r="D38" s="72" t="s">
        <v>167</v>
      </c>
      <c r="E38" s="72" t="s">
        <v>168</v>
      </c>
      <c r="F38" s="73" t="s">
        <v>169</v>
      </c>
      <c r="G38" s="42"/>
    </row>
    <row r="39" spans="1:7" x14ac:dyDescent="0.3">
      <c r="A39" s="72" t="s">
        <v>170</v>
      </c>
      <c r="B39" s="72">
        <v>4</v>
      </c>
      <c r="C39" s="72">
        <v>663</v>
      </c>
      <c r="D39" s="72" t="s">
        <v>167</v>
      </c>
      <c r="E39" s="72" t="s">
        <v>168</v>
      </c>
      <c r="F39" s="73" t="s">
        <v>171</v>
      </c>
      <c r="G39" s="42"/>
    </row>
    <row r="40" spans="1:7" x14ac:dyDescent="0.3">
      <c r="A40" s="72" t="s">
        <v>100</v>
      </c>
      <c r="B40" s="72">
        <v>1</v>
      </c>
      <c r="C40" s="72">
        <v>4335</v>
      </c>
      <c r="D40" s="72" t="s">
        <v>172</v>
      </c>
      <c r="E40" s="72" t="s">
        <v>168</v>
      </c>
      <c r="F40" s="73" t="s">
        <v>173</v>
      </c>
      <c r="G40" s="42"/>
    </row>
    <row r="41" spans="1:7" x14ac:dyDescent="0.3">
      <c r="A41" s="72" t="s">
        <v>100</v>
      </c>
      <c r="B41" s="72">
        <v>2</v>
      </c>
      <c r="C41" s="72">
        <v>4335</v>
      </c>
      <c r="D41" s="72" t="s">
        <v>167</v>
      </c>
      <c r="E41" s="72" t="s">
        <v>168</v>
      </c>
      <c r="F41" s="73" t="s">
        <v>173</v>
      </c>
      <c r="G41" s="42"/>
    </row>
    <row r="42" spans="1:7" x14ac:dyDescent="0.3">
      <c r="A42" s="72" t="s">
        <v>174</v>
      </c>
      <c r="B42" s="72">
        <v>2</v>
      </c>
      <c r="C42" s="72">
        <v>1163</v>
      </c>
      <c r="D42" s="72" t="s">
        <v>167</v>
      </c>
      <c r="E42" s="72" t="s">
        <v>168</v>
      </c>
      <c r="F42" s="73" t="s">
        <v>175</v>
      </c>
      <c r="G42" s="42"/>
    </row>
    <row r="43" spans="1:7" x14ac:dyDescent="0.3">
      <c r="A43" s="72" t="s">
        <v>79</v>
      </c>
      <c r="B43" s="72">
        <v>5</v>
      </c>
      <c r="C43" s="72">
        <v>7059</v>
      </c>
      <c r="D43" s="72" t="s">
        <v>176</v>
      </c>
      <c r="E43" s="72" t="s">
        <v>168</v>
      </c>
      <c r="F43" s="73" t="s">
        <v>177</v>
      </c>
      <c r="G43" s="42"/>
    </row>
    <row r="44" spans="1:7" x14ac:dyDescent="0.3">
      <c r="A44" s="72" t="s">
        <v>79</v>
      </c>
      <c r="B44" s="72">
        <v>1</v>
      </c>
      <c r="C44" s="72">
        <v>4706</v>
      </c>
      <c r="D44" s="72" t="s">
        <v>167</v>
      </c>
      <c r="E44" s="72" t="s">
        <v>168</v>
      </c>
      <c r="F44" s="73" t="s">
        <v>177</v>
      </c>
      <c r="G44" s="42"/>
    </row>
    <row r="45" spans="1:7" x14ac:dyDescent="0.3">
      <c r="A45" s="72" t="s">
        <v>79</v>
      </c>
      <c r="B45" s="72">
        <v>1</v>
      </c>
      <c r="C45" s="72">
        <v>2353</v>
      </c>
      <c r="D45" s="72" t="s">
        <v>167</v>
      </c>
      <c r="E45" s="72" t="s">
        <v>168</v>
      </c>
      <c r="F45" s="73" t="s">
        <v>177</v>
      </c>
      <c r="G45" s="42"/>
    </row>
    <row r="46" spans="1:7" x14ac:dyDescent="0.3">
      <c r="A46" s="76" t="s">
        <v>136</v>
      </c>
      <c r="B46" s="76">
        <f>SUM(B38:B45)</f>
        <v>18</v>
      </c>
      <c r="C46" s="72"/>
      <c r="D46" s="72"/>
      <c r="E46" s="72"/>
      <c r="F46" s="73"/>
      <c r="G46" s="42"/>
    </row>
    <row r="47" spans="1:7" x14ac:dyDescent="0.3">
      <c r="A47" s="67">
        <v>46301</v>
      </c>
      <c r="B47" s="79"/>
      <c r="C47" s="79"/>
      <c r="D47" s="79"/>
      <c r="E47" s="79"/>
      <c r="F47" s="79"/>
      <c r="G47" s="80"/>
    </row>
    <row r="48" spans="1:7" x14ac:dyDescent="0.3">
      <c r="A48" s="72" t="s">
        <v>100</v>
      </c>
      <c r="B48" s="72">
        <v>4</v>
      </c>
      <c r="C48" s="72">
        <v>4235</v>
      </c>
      <c r="D48" s="72" t="s">
        <v>162</v>
      </c>
      <c r="E48" s="72" t="s">
        <v>139</v>
      </c>
      <c r="F48" s="73" t="s">
        <v>173</v>
      </c>
      <c r="G48" s="42" t="s">
        <v>178</v>
      </c>
    </row>
    <row r="49" spans="1:7" x14ac:dyDescent="0.3">
      <c r="A49" s="72" t="s">
        <v>174</v>
      </c>
      <c r="B49" s="72">
        <v>1</v>
      </c>
      <c r="C49" s="72">
        <v>1316</v>
      </c>
      <c r="D49" s="72" t="s">
        <v>179</v>
      </c>
      <c r="E49" s="72" t="s">
        <v>139</v>
      </c>
      <c r="F49" s="73" t="s">
        <v>175</v>
      </c>
      <c r="G49" s="42"/>
    </row>
    <row r="50" spans="1:7" x14ac:dyDescent="0.3">
      <c r="A50" s="76" t="s">
        <v>136</v>
      </c>
      <c r="B50" s="76">
        <f>SUM(B48:B49)</f>
        <v>5</v>
      </c>
      <c r="C50" s="72"/>
      <c r="D50" s="72"/>
      <c r="E50" s="72"/>
      <c r="F50" s="73"/>
      <c r="G50" s="42"/>
    </row>
    <row r="51" spans="1:7" x14ac:dyDescent="0.3">
      <c r="A51" s="72" t="s">
        <v>180</v>
      </c>
      <c r="B51" s="72">
        <v>1</v>
      </c>
      <c r="C51" s="72">
        <v>2151</v>
      </c>
      <c r="D51" s="72" t="s">
        <v>181</v>
      </c>
      <c r="E51" s="72" t="s">
        <v>168</v>
      </c>
      <c r="F51" s="73" t="s">
        <v>154</v>
      </c>
      <c r="G51" s="42"/>
    </row>
    <row r="52" spans="1:7" x14ac:dyDescent="0.3">
      <c r="A52" s="72" t="s">
        <v>180</v>
      </c>
      <c r="B52" s="72">
        <v>1</v>
      </c>
      <c r="C52" s="72">
        <v>1075</v>
      </c>
      <c r="D52" s="72" t="s">
        <v>181</v>
      </c>
      <c r="E52" s="72" t="s">
        <v>168</v>
      </c>
      <c r="F52" s="73" t="s">
        <v>154</v>
      </c>
      <c r="G52" s="42"/>
    </row>
    <row r="53" spans="1:7" x14ac:dyDescent="0.3">
      <c r="A53" s="72" t="s">
        <v>174</v>
      </c>
      <c r="B53" s="72">
        <v>1</v>
      </c>
      <c r="C53" s="72">
        <v>1316</v>
      </c>
      <c r="D53" s="72" t="s">
        <v>163</v>
      </c>
      <c r="E53" s="72" t="s">
        <v>168</v>
      </c>
      <c r="F53" s="73" t="s">
        <v>182</v>
      </c>
      <c r="G53" s="42"/>
    </row>
    <row r="54" spans="1:7" x14ac:dyDescent="0.3">
      <c r="A54" s="72" t="s">
        <v>174</v>
      </c>
      <c r="B54" s="72">
        <v>1</v>
      </c>
      <c r="C54" s="72">
        <v>1316</v>
      </c>
      <c r="D54" s="72" t="s">
        <v>181</v>
      </c>
      <c r="E54" s="72" t="s">
        <v>168</v>
      </c>
      <c r="F54" s="73" t="s">
        <v>182</v>
      </c>
      <c r="G54" s="42"/>
    </row>
    <row r="55" spans="1:7" x14ac:dyDescent="0.3">
      <c r="A55" s="72" t="s">
        <v>183</v>
      </c>
      <c r="B55" s="72">
        <v>2</v>
      </c>
      <c r="C55" s="72">
        <v>5778</v>
      </c>
      <c r="D55" s="72" t="s">
        <v>184</v>
      </c>
      <c r="E55" s="72" t="s">
        <v>168</v>
      </c>
      <c r="F55" s="73" t="s">
        <v>185</v>
      </c>
      <c r="G55" s="42"/>
    </row>
    <row r="56" spans="1:7" x14ac:dyDescent="0.3">
      <c r="A56" s="72" t="s">
        <v>100</v>
      </c>
      <c r="B56" s="72">
        <v>4</v>
      </c>
      <c r="C56" s="72">
        <v>3789</v>
      </c>
      <c r="D56" s="72" t="s">
        <v>186</v>
      </c>
      <c r="E56" s="72" t="s">
        <v>168</v>
      </c>
      <c r="F56" s="73" t="s">
        <v>173</v>
      </c>
      <c r="G56" s="42"/>
    </row>
    <row r="57" spans="1:7" x14ac:dyDescent="0.3">
      <c r="A57" s="72" t="s">
        <v>100</v>
      </c>
      <c r="B57" s="72">
        <v>1</v>
      </c>
      <c r="C57" s="72">
        <v>3789</v>
      </c>
      <c r="D57" s="72" t="s">
        <v>162</v>
      </c>
      <c r="E57" s="72" t="s">
        <v>168</v>
      </c>
      <c r="F57" s="73" t="s">
        <v>173</v>
      </c>
      <c r="G57" s="42"/>
    </row>
    <row r="58" spans="1:7" x14ac:dyDescent="0.3">
      <c r="A58" s="72" t="s">
        <v>100</v>
      </c>
      <c r="B58" s="72">
        <v>1</v>
      </c>
      <c r="C58" s="72">
        <v>2118</v>
      </c>
      <c r="D58" s="72" t="s">
        <v>187</v>
      </c>
      <c r="E58" s="72" t="s">
        <v>168</v>
      </c>
      <c r="F58" s="73" t="s">
        <v>173</v>
      </c>
      <c r="G58" s="42"/>
    </row>
    <row r="59" spans="1:7" x14ac:dyDescent="0.3">
      <c r="A59" s="72" t="s">
        <v>100</v>
      </c>
      <c r="B59" s="72">
        <v>1</v>
      </c>
      <c r="C59" s="72">
        <v>2118</v>
      </c>
      <c r="D59" s="72" t="s">
        <v>188</v>
      </c>
      <c r="E59" s="72" t="s">
        <v>168</v>
      </c>
      <c r="F59" s="73" t="s">
        <v>173</v>
      </c>
      <c r="G59" s="42"/>
    </row>
    <row r="60" spans="1:7" x14ac:dyDescent="0.3">
      <c r="A60" s="76" t="s">
        <v>136</v>
      </c>
      <c r="B60" s="76">
        <f>SUM(B51:B59)</f>
        <v>13</v>
      </c>
      <c r="C60" s="72"/>
      <c r="D60" s="72"/>
      <c r="E60" s="72"/>
      <c r="F60" s="73"/>
      <c r="G60" s="42"/>
    </row>
    <row r="61" spans="1:7" x14ac:dyDescent="0.3">
      <c r="A61" s="67">
        <v>46302</v>
      </c>
      <c r="B61" s="79"/>
      <c r="C61" s="79"/>
      <c r="D61" s="79"/>
      <c r="E61" s="79"/>
      <c r="F61" s="79"/>
      <c r="G61" s="80"/>
    </row>
    <row r="62" spans="1:7" x14ac:dyDescent="0.3">
      <c r="A62" s="72" t="s">
        <v>174</v>
      </c>
      <c r="B62" s="72">
        <v>6</v>
      </c>
      <c r="C62" s="72">
        <v>1111</v>
      </c>
      <c r="D62" s="72" t="s">
        <v>189</v>
      </c>
      <c r="E62" s="72" t="s">
        <v>50</v>
      </c>
      <c r="F62" s="73" t="s">
        <v>182</v>
      </c>
      <c r="G62" s="42"/>
    </row>
    <row r="63" spans="1:7" x14ac:dyDescent="0.3">
      <c r="A63" s="72" t="s">
        <v>116</v>
      </c>
      <c r="B63" s="72">
        <v>4</v>
      </c>
      <c r="C63" s="72">
        <v>667</v>
      </c>
      <c r="D63" s="72" t="s">
        <v>190</v>
      </c>
      <c r="E63" s="72" t="s">
        <v>50</v>
      </c>
      <c r="F63" s="73" t="s">
        <v>191</v>
      </c>
      <c r="G63" s="42"/>
    </row>
    <row r="64" spans="1:7" x14ac:dyDescent="0.3">
      <c r="A64" s="76" t="s">
        <v>136</v>
      </c>
      <c r="B64" s="76">
        <f>SUM(B62:B63)</f>
        <v>10</v>
      </c>
      <c r="C64" s="72"/>
      <c r="D64" s="72"/>
      <c r="E64" s="72"/>
      <c r="F64" s="73"/>
      <c r="G64" s="42"/>
    </row>
    <row r="65" spans="1:7" x14ac:dyDescent="0.3">
      <c r="A65" s="72" t="s">
        <v>116</v>
      </c>
      <c r="B65" s="72">
        <v>4</v>
      </c>
      <c r="C65" s="72">
        <v>667</v>
      </c>
      <c r="D65" s="72" t="s">
        <v>167</v>
      </c>
      <c r="E65" s="72" t="s">
        <v>139</v>
      </c>
      <c r="F65" s="73" t="s">
        <v>191</v>
      </c>
      <c r="G65" s="42"/>
    </row>
    <row r="66" spans="1:7" x14ac:dyDescent="0.3">
      <c r="A66" s="72" t="s">
        <v>116</v>
      </c>
      <c r="B66" s="72">
        <v>1</v>
      </c>
      <c r="C66" s="72">
        <v>667</v>
      </c>
      <c r="D66" s="72" t="s">
        <v>172</v>
      </c>
      <c r="E66" s="72" t="s">
        <v>139</v>
      </c>
      <c r="F66" s="73" t="s">
        <v>191</v>
      </c>
      <c r="G66" s="42"/>
    </row>
    <row r="67" spans="1:7" x14ac:dyDescent="0.3">
      <c r="A67" s="72" t="s">
        <v>174</v>
      </c>
      <c r="B67" s="72">
        <v>1</v>
      </c>
      <c r="C67" s="72">
        <v>1316</v>
      </c>
      <c r="D67" s="72" t="s">
        <v>172</v>
      </c>
      <c r="E67" s="72" t="s">
        <v>139</v>
      </c>
      <c r="F67" s="73" t="s">
        <v>182</v>
      </c>
      <c r="G67" s="42" t="s">
        <v>192</v>
      </c>
    </row>
    <row r="68" spans="1:7" x14ac:dyDescent="0.3">
      <c r="A68" s="76" t="s">
        <v>136</v>
      </c>
      <c r="B68" s="76">
        <f>SUM(B65:B67)</f>
        <v>6</v>
      </c>
      <c r="C68" s="72"/>
      <c r="D68" s="72"/>
      <c r="E68" s="72"/>
      <c r="F68" s="73"/>
      <c r="G68" s="42"/>
    </row>
    <row r="69" spans="1:7" x14ac:dyDescent="0.3">
      <c r="A69" s="72"/>
      <c r="B69" s="72"/>
      <c r="C69" s="72"/>
      <c r="D69" s="72"/>
      <c r="E69" s="72"/>
      <c r="F69" s="73"/>
      <c r="G69" s="42"/>
    </row>
    <row r="70" spans="1:7" x14ac:dyDescent="0.3">
      <c r="A70" s="67">
        <v>46303</v>
      </c>
      <c r="B70" s="79"/>
      <c r="C70" s="79"/>
      <c r="D70" s="79"/>
      <c r="E70" s="79"/>
      <c r="F70" s="79"/>
      <c r="G70" s="80"/>
    </row>
    <row r="71" spans="1:7" x14ac:dyDescent="0.3">
      <c r="A71" s="72" t="s">
        <v>180</v>
      </c>
      <c r="B71" s="72">
        <v>1</v>
      </c>
      <c r="C71" s="72">
        <v>2151</v>
      </c>
      <c r="D71" s="72" t="s">
        <v>193</v>
      </c>
      <c r="E71" s="72" t="s">
        <v>139</v>
      </c>
      <c r="F71" s="73" t="s">
        <v>154</v>
      </c>
      <c r="G71" s="42"/>
    </row>
    <row r="72" spans="1:7" x14ac:dyDescent="0.3">
      <c r="A72" s="72" t="s">
        <v>180</v>
      </c>
      <c r="B72" s="72">
        <v>1</v>
      </c>
      <c r="C72" s="72">
        <v>1075</v>
      </c>
      <c r="D72" s="72" t="s">
        <v>193</v>
      </c>
      <c r="E72" s="72" t="s">
        <v>139</v>
      </c>
      <c r="F72" s="73" t="s">
        <v>154</v>
      </c>
      <c r="G72" s="42"/>
    </row>
    <row r="73" spans="1:7" x14ac:dyDescent="0.3">
      <c r="A73" s="72" t="s">
        <v>194</v>
      </c>
      <c r="B73" s="72">
        <v>1</v>
      </c>
      <c r="C73" s="72">
        <v>2222</v>
      </c>
      <c r="D73" s="72" t="s">
        <v>195</v>
      </c>
      <c r="E73" s="72" t="s">
        <v>139</v>
      </c>
      <c r="F73" s="73" t="s">
        <v>196</v>
      </c>
      <c r="G73" s="42"/>
    </row>
    <row r="74" spans="1:7" x14ac:dyDescent="0.3">
      <c r="A74" s="72" t="s">
        <v>113</v>
      </c>
      <c r="B74" s="72">
        <v>4</v>
      </c>
      <c r="C74" s="72">
        <v>649</v>
      </c>
      <c r="D74" s="72" t="s">
        <v>142</v>
      </c>
      <c r="E74" s="72" t="s">
        <v>139</v>
      </c>
      <c r="F74" s="73" t="s">
        <v>197</v>
      </c>
      <c r="G74" s="42"/>
    </row>
    <row r="75" spans="1:7" x14ac:dyDescent="0.3">
      <c r="A75" s="76" t="s">
        <v>136</v>
      </c>
      <c r="B75" s="76">
        <f>SUM(B72:B74)</f>
        <v>6</v>
      </c>
      <c r="C75" s="72"/>
      <c r="D75" s="72"/>
      <c r="E75" s="72"/>
      <c r="F75" s="73"/>
      <c r="G75" s="42"/>
    </row>
    <row r="76" spans="1:7" x14ac:dyDescent="0.3">
      <c r="A76" s="72" t="s">
        <v>198</v>
      </c>
      <c r="B76" s="72">
        <v>2</v>
      </c>
      <c r="C76" s="72">
        <v>1484</v>
      </c>
      <c r="D76" s="72" t="s">
        <v>199</v>
      </c>
      <c r="E76" s="72" t="s">
        <v>50</v>
      </c>
      <c r="F76" s="73" t="s">
        <v>200</v>
      </c>
      <c r="G76" s="42"/>
    </row>
    <row r="77" spans="1:7" x14ac:dyDescent="0.3">
      <c r="A77" s="72" t="s">
        <v>198</v>
      </c>
      <c r="B77" s="72">
        <v>1</v>
      </c>
      <c r="C77" s="72">
        <v>1484</v>
      </c>
      <c r="D77" s="72" t="s">
        <v>201</v>
      </c>
      <c r="E77" s="72" t="s">
        <v>50</v>
      </c>
      <c r="F77" s="73" t="s">
        <v>200</v>
      </c>
      <c r="G77" s="42"/>
    </row>
    <row r="78" spans="1:7" x14ac:dyDescent="0.3">
      <c r="A78" s="72" t="s">
        <v>198</v>
      </c>
      <c r="B78" s="72">
        <v>1</v>
      </c>
      <c r="C78" s="72">
        <v>1484</v>
      </c>
      <c r="D78" s="72" t="s">
        <v>202</v>
      </c>
      <c r="E78" s="72" t="s">
        <v>50</v>
      </c>
      <c r="F78" s="73" t="s">
        <v>200</v>
      </c>
      <c r="G78" s="42"/>
    </row>
    <row r="79" spans="1:7" x14ac:dyDescent="0.3">
      <c r="A79" s="72" t="s">
        <v>203</v>
      </c>
      <c r="B79" s="72">
        <v>1</v>
      </c>
      <c r="C79" s="72">
        <v>667</v>
      </c>
      <c r="D79" s="72" t="s">
        <v>153</v>
      </c>
      <c r="E79" s="72" t="s">
        <v>50</v>
      </c>
      <c r="F79" s="73" t="s">
        <v>191</v>
      </c>
      <c r="G79" s="42"/>
    </row>
    <row r="80" spans="1:7" x14ac:dyDescent="0.3">
      <c r="A80" s="72" t="s">
        <v>174</v>
      </c>
      <c r="B80" s="72">
        <v>1</v>
      </c>
      <c r="C80" s="72">
        <v>1316</v>
      </c>
      <c r="D80" s="72" t="s">
        <v>204</v>
      </c>
      <c r="E80" s="72" t="s">
        <v>50</v>
      </c>
      <c r="F80" s="73" t="s">
        <v>182</v>
      </c>
      <c r="G80" s="42"/>
    </row>
    <row r="81" spans="1:7" x14ac:dyDescent="0.3">
      <c r="A81" s="72" t="s">
        <v>113</v>
      </c>
      <c r="B81" s="72">
        <v>3</v>
      </c>
      <c r="C81" s="72">
        <v>2574</v>
      </c>
      <c r="D81" s="72" t="s">
        <v>205</v>
      </c>
      <c r="E81" s="72" t="s">
        <v>50</v>
      </c>
      <c r="F81" s="73" t="s">
        <v>197</v>
      </c>
      <c r="G81" s="42"/>
    </row>
    <row r="82" spans="1:7" x14ac:dyDescent="0.3">
      <c r="A82" s="76" t="s">
        <v>136</v>
      </c>
      <c r="B82" s="76">
        <f>SUM(B76:B81)</f>
        <v>9</v>
      </c>
      <c r="C82" s="72"/>
      <c r="D82" s="72"/>
      <c r="E82" s="72"/>
      <c r="F82" s="73"/>
      <c r="G82" s="42"/>
    </row>
    <row r="83" spans="1:7" x14ac:dyDescent="0.3">
      <c r="A83" s="72" t="s">
        <v>198</v>
      </c>
      <c r="B83" s="72">
        <v>2</v>
      </c>
      <c r="C83" s="72">
        <v>1184</v>
      </c>
      <c r="D83" s="72" t="s">
        <v>206</v>
      </c>
      <c r="E83" s="72" t="s">
        <v>168</v>
      </c>
      <c r="F83" s="73" t="s">
        <v>200</v>
      </c>
      <c r="G83" s="42"/>
    </row>
    <row r="84" spans="1:7" x14ac:dyDescent="0.3">
      <c r="A84" s="72" t="s">
        <v>194</v>
      </c>
      <c r="B84" s="72">
        <v>2</v>
      </c>
      <c r="C84" s="72">
        <v>2222</v>
      </c>
      <c r="D84" s="72" t="s">
        <v>162</v>
      </c>
      <c r="E84" s="72" t="s">
        <v>168</v>
      </c>
      <c r="F84" s="73" t="s">
        <v>196</v>
      </c>
      <c r="G84" s="42"/>
    </row>
    <row r="85" spans="1:7" x14ac:dyDescent="0.3">
      <c r="A85" s="72" t="s">
        <v>194</v>
      </c>
      <c r="B85" s="72">
        <v>1</v>
      </c>
      <c r="C85" s="72">
        <v>2222</v>
      </c>
      <c r="D85" s="72" t="s">
        <v>163</v>
      </c>
      <c r="E85" s="72" t="s">
        <v>168</v>
      </c>
      <c r="F85" s="73" t="s">
        <v>196</v>
      </c>
      <c r="G85" s="42"/>
    </row>
    <row r="86" spans="1:7" x14ac:dyDescent="0.3">
      <c r="A86" s="72" t="s">
        <v>207</v>
      </c>
      <c r="B86" s="72">
        <v>2</v>
      </c>
      <c r="C86" s="72">
        <v>5952</v>
      </c>
      <c r="D86" s="72" t="s">
        <v>208</v>
      </c>
      <c r="E86" s="72" t="s">
        <v>168</v>
      </c>
      <c r="F86" s="73" t="s">
        <v>209</v>
      </c>
      <c r="G86" s="42"/>
    </row>
    <row r="87" spans="1:7" x14ac:dyDescent="0.3">
      <c r="A87" s="72" t="s">
        <v>120</v>
      </c>
      <c r="B87" s="72">
        <v>5</v>
      </c>
      <c r="C87" s="72">
        <v>3529</v>
      </c>
      <c r="D87" s="72" t="s">
        <v>167</v>
      </c>
      <c r="E87" s="72" t="s">
        <v>168</v>
      </c>
      <c r="F87" s="73" t="s">
        <v>121</v>
      </c>
      <c r="G87" s="42"/>
    </row>
    <row r="88" spans="1:7" x14ac:dyDescent="0.3">
      <c r="A88" s="72" t="s">
        <v>120</v>
      </c>
      <c r="B88" s="72">
        <v>2</v>
      </c>
      <c r="C88" s="72">
        <v>3529</v>
      </c>
      <c r="D88" s="72" t="s">
        <v>210</v>
      </c>
      <c r="E88" s="72" t="s">
        <v>168</v>
      </c>
      <c r="F88" s="73" t="s">
        <v>121</v>
      </c>
      <c r="G88" s="42" t="s">
        <v>211</v>
      </c>
    </row>
    <row r="89" spans="1:7" x14ac:dyDescent="0.3">
      <c r="A89" s="76" t="s">
        <v>136</v>
      </c>
      <c r="B89" s="76">
        <f>SUM(B83:B88)</f>
        <v>14</v>
      </c>
      <c r="C89" s="72"/>
      <c r="D89" s="72"/>
      <c r="E89" s="72"/>
      <c r="F89" s="73"/>
      <c r="G89" s="42"/>
    </row>
    <row r="90" spans="1:7" x14ac:dyDescent="0.3">
      <c r="A90" s="67">
        <v>46304</v>
      </c>
      <c r="B90" s="79"/>
      <c r="C90" s="79"/>
      <c r="D90" s="79"/>
      <c r="E90" s="79"/>
      <c r="F90" s="79"/>
      <c r="G90" s="80"/>
    </row>
    <row r="91" spans="1:7" x14ac:dyDescent="0.3">
      <c r="A91" s="72" t="s">
        <v>212</v>
      </c>
      <c r="B91" s="72">
        <v>2</v>
      </c>
      <c r="C91" s="72">
        <v>5952</v>
      </c>
      <c r="D91" s="72" t="s">
        <v>167</v>
      </c>
      <c r="E91" s="72" t="s">
        <v>139</v>
      </c>
      <c r="F91" s="73" t="s">
        <v>213</v>
      </c>
      <c r="G91" s="42" t="s">
        <v>214</v>
      </c>
    </row>
    <row r="92" spans="1:7" x14ac:dyDescent="0.3">
      <c r="A92" s="76" t="s">
        <v>136</v>
      </c>
      <c r="B92" s="76">
        <f>SUM(B91)</f>
        <v>2</v>
      </c>
      <c r="C92" s="72"/>
      <c r="D92" s="72"/>
      <c r="E92" s="72"/>
      <c r="F92" s="73"/>
      <c r="G92" s="42"/>
    </row>
    <row r="93" spans="1:7" x14ac:dyDescent="0.3">
      <c r="A93" s="72" t="s">
        <v>194</v>
      </c>
      <c r="B93" s="72">
        <v>1</v>
      </c>
      <c r="C93" s="72">
        <v>2222</v>
      </c>
      <c r="D93" s="72" t="s">
        <v>215</v>
      </c>
      <c r="E93" s="72" t="s">
        <v>50</v>
      </c>
      <c r="F93" s="73" t="s">
        <v>196</v>
      </c>
      <c r="G93" s="42" t="s">
        <v>216</v>
      </c>
    </row>
    <row r="94" spans="1:7" x14ac:dyDescent="0.3">
      <c r="A94" s="72" t="s">
        <v>217</v>
      </c>
      <c r="B94" s="72">
        <v>1</v>
      </c>
      <c r="C94" s="72">
        <v>1111</v>
      </c>
      <c r="D94" s="72" t="s">
        <v>218</v>
      </c>
      <c r="E94" s="72" t="s">
        <v>50</v>
      </c>
      <c r="F94" s="73" t="s">
        <v>219</v>
      </c>
      <c r="G94" s="42"/>
    </row>
    <row r="95" spans="1:7" x14ac:dyDescent="0.3">
      <c r="A95" s="72" t="s">
        <v>217</v>
      </c>
      <c r="B95" s="72">
        <v>1</v>
      </c>
      <c r="C95" s="72">
        <v>1111</v>
      </c>
      <c r="D95" s="72" t="s">
        <v>220</v>
      </c>
      <c r="E95" s="72" t="s">
        <v>50</v>
      </c>
      <c r="F95" s="73" t="s">
        <v>219</v>
      </c>
      <c r="G95" s="42"/>
    </row>
    <row r="96" spans="1:7" x14ac:dyDescent="0.3">
      <c r="A96" s="72" t="s">
        <v>194</v>
      </c>
      <c r="B96" s="72">
        <v>1</v>
      </c>
      <c r="C96" s="72">
        <v>2222</v>
      </c>
      <c r="D96" s="72" t="s">
        <v>221</v>
      </c>
      <c r="E96" s="72" t="s">
        <v>50</v>
      </c>
      <c r="F96" s="73" t="s">
        <v>196</v>
      </c>
      <c r="G96" s="42"/>
    </row>
    <row r="97" spans="1:7" x14ac:dyDescent="0.3">
      <c r="A97" s="72" t="s">
        <v>120</v>
      </c>
      <c r="B97" s="82">
        <v>0.5</v>
      </c>
      <c r="C97" s="72">
        <v>1234</v>
      </c>
      <c r="D97" s="72" t="s">
        <v>222</v>
      </c>
      <c r="E97" s="72" t="s">
        <v>50</v>
      </c>
      <c r="F97" s="73" t="s">
        <v>121</v>
      </c>
      <c r="G97" s="42"/>
    </row>
    <row r="98" spans="1:7" x14ac:dyDescent="0.3">
      <c r="A98" s="76" t="s">
        <v>136</v>
      </c>
      <c r="B98" s="76">
        <f>SUM(B93:B97)</f>
        <v>4.5</v>
      </c>
      <c r="C98" s="72"/>
      <c r="D98" s="72"/>
      <c r="E98" s="72"/>
      <c r="F98" s="73"/>
      <c r="G98" s="42"/>
    </row>
    <row r="99" spans="1:7" x14ac:dyDescent="0.3">
      <c r="A99" s="72" t="s">
        <v>223</v>
      </c>
      <c r="B99" s="72">
        <v>6</v>
      </c>
      <c r="C99" s="72">
        <v>3431</v>
      </c>
      <c r="D99" s="72" t="s">
        <v>167</v>
      </c>
      <c r="E99" s="72" t="s">
        <v>168</v>
      </c>
      <c r="F99" s="73" t="s">
        <v>224</v>
      </c>
      <c r="G99" s="42"/>
    </row>
    <row r="100" spans="1:7" x14ac:dyDescent="0.3">
      <c r="A100" s="72" t="s">
        <v>120</v>
      </c>
      <c r="B100" s="72">
        <v>2</v>
      </c>
      <c r="C100" s="72">
        <v>1176</v>
      </c>
      <c r="D100" s="72" t="s">
        <v>172</v>
      </c>
      <c r="E100" s="72" t="s">
        <v>168</v>
      </c>
      <c r="F100" s="73" t="s">
        <v>121</v>
      </c>
      <c r="G100" s="42"/>
    </row>
    <row r="101" spans="1:7" x14ac:dyDescent="0.3">
      <c r="A101" s="72" t="s">
        <v>120</v>
      </c>
      <c r="B101" s="72">
        <v>1</v>
      </c>
      <c r="C101" s="72">
        <v>1765</v>
      </c>
      <c r="D101" s="72" t="s">
        <v>163</v>
      </c>
      <c r="E101" s="72" t="s">
        <v>168</v>
      </c>
      <c r="F101" s="73" t="s">
        <v>121</v>
      </c>
      <c r="G101" s="42"/>
    </row>
    <row r="102" spans="1:7" x14ac:dyDescent="0.3">
      <c r="A102" s="72" t="s">
        <v>225</v>
      </c>
      <c r="B102" s="72">
        <v>1</v>
      </c>
      <c r="C102" s="72">
        <v>2222</v>
      </c>
      <c r="D102" s="72" t="s">
        <v>153</v>
      </c>
      <c r="E102" s="72" t="s">
        <v>168</v>
      </c>
      <c r="F102" s="73" t="s">
        <v>226</v>
      </c>
      <c r="G102" s="42"/>
    </row>
    <row r="103" spans="1:7" x14ac:dyDescent="0.3">
      <c r="A103" s="72" t="s">
        <v>217</v>
      </c>
      <c r="B103" s="72">
        <v>1</v>
      </c>
      <c r="C103" s="72">
        <v>475</v>
      </c>
      <c r="D103" s="72" t="s">
        <v>227</v>
      </c>
      <c r="E103" s="72" t="s">
        <v>168</v>
      </c>
      <c r="F103" s="73" t="s">
        <v>228</v>
      </c>
      <c r="G103" s="42"/>
    </row>
    <row r="104" spans="1:7" x14ac:dyDescent="0.3">
      <c r="A104" s="72" t="s">
        <v>217</v>
      </c>
      <c r="B104" s="72">
        <v>1</v>
      </c>
      <c r="C104" s="72">
        <v>500</v>
      </c>
      <c r="D104" s="72" t="s">
        <v>229</v>
      </c>
      <c r="E104" s="72" t="s">
        <v>168</v>
      </c>
      <c r="F104" s="73" t="s">
        <v>228</v>
      </c>
      <c r="G104" s="42"/>
    </row>
    <row r="105" spans="1:7" x14ac:dyDescent="0.3">
      <c r="A105" s="72" t="s">
        <v>217</v>
      </c>
      <c r="B105" s="72">
        <v>1</v>
      </c>
      <c r="C105" s="72">
        <v>500</v>
      </c>
      <c r="D105" s="72" t="s">
        <v>230</v>
      </c>
      <c r="E105" s="72" t="s">
        <v>168</v>
      </c>
      <c r="F105" s="73" t="s">
        <v>228</v>
      </c>
      <c r="G105" s="42"/>
    </row>
    <row r="106" spans="1:7" x14ac:dyDescent="0.3">
      <c r="A106" s="72" t="s">
        <v>217</v>
      </c>
      <c r="B106" s="72">
        <v>1</v>
      </c>
      <c r="C106" s="72">
        <v>500</v>
      </c>
      <c r="D106" s="72" t="s">
        <v>231</v>
      </c>
      <c r="E106" s="72" t="s">
        <v>168</v>
      </c>
      <c r="F106" s="73" t="s">
        <v>228</v>
      </c>
      <c r="G106" s="42"/>
    </row>
    <row r="107" spans="1:7" x14ac:dyDescent="0.3">
      <c r="A107" s="72" t="s">
        <v>217</v>
      </c>
      <c r="B107" s="72">
        <v>1</v>
      </c>
      <c r="C107" s="72">
        <v>500</v>
      </c>
      <c r="D107" s="72" t="s">
        <v>232</v>
      </c>
      <c r="E107" s="72" t="s">
        <v>168</v>
      </c>
      <c r="F107" s="73" t="s">
        <v>228</v>
      </c>
      <c r="G107" s="42"/>
    </row>
    <row r="108" spans="1:7" x14ac:dyDescent="0.3">
      <c r="A108" s="76" t="s">
        <v>136</v>
      </c>
      <c r="B108" s="76">
        <f>SUM(B99:B107)</f>
        <v>15</v>
      </c>
      <c r="C108" s="72"/>
      <c r="D108" s="72"/>
      <c r="E108" s="72"/>
      <c r="F108" s="73"/>
      <c r="G108" s="42"/>
    </row>
    <row r="109" spans="1:7" x14ac:dyDescent="0.3">
      <c r="A109" s="72"/>
      <c r="B109" s="72"/>
      <c r="C109" s="72"/>
      <c r="D109" s="72"/>
      <c r="E109" s="72"/>
      <c r="F109" s="73"/>
      <c r="G109" s="42"/>
    </row>
    <row r="110" spans="1:7" x14ac:dyDescent="0.3">
      <c r="A110" s="72"/>
      <c r="B110" s="72"/>
      <c r="C110" s="72"/>
      <c r="D110" s="72"/>
      <c r="E110" s="72"/>
      <c r="F110" s="73"/>
      <c r="G110" s="42"/>
    </row>
    <row r="111" spans="1:7" x14ac:dyDescent="0.3">
      <c r="A111" s="72"/>
      <c r="B111" s="72"/>
      <c r="C111" s="72"/>
      <c r="D111" s="72"/>
      <c r="E111" s="72"/>
      <c r="F111" s="73"/>
      <c r="G111" s="42"/>
    </row>
    <row r="112" spans="1:7" x14ac:dyDescent="0.3">
      <c r="A112" s="72"/>
      <c r="B112" s="72"/>
      <c r="C112" s="72"/>
      <c r="D112" s="72"/>
      <c r="E112" s="72"/>
      <c r="F112" s="73"/>
      <c r="G112" s="42"/>
    </row>
    <row r="113" spans="1:7" x14ac:dyDescent="0.3">
      <c r="A113" s="72"/>
      <c r="B113" s="72"/>
      <c r="C113" s="72"/>
      <c r="D113" s="72"/>
      <c r="E113" s="72"/>
      <c r="F113" s="73"/>
      <c r="G113" s="42"/>
    </row>
    <row r="114" spans="1:7" x14ac:dyDescent="0.3">
      <c r="A114" s="72"/>
      <c r="B114" s="72"/>
      <c r="C114" s="72"/>
      <c r="D114" s="72"/>
      <c r="E114" s="72"/>
      <c r="F114" s="73"/>
      <c r="G114" s="42"/>
    </row>
    <row r="115" spans="1:7" x14ac:dyDescent="0.3">
      <c r="A115" s="72"/>
      <c r="B115" s="72"/>
      <c r="C115" s="72"/>
      <c r="D115" s="72"/>
      <c r="E115" s="72"/>
      <c r="F115" s="73"/>
      <c r="G115" s="42"/>
    </row>
    <row r="116" spans="1:7" x14ac:dyDescent="0.3">
      <c r="A116" s="72"/>
      <c r="B116" s="72"/>
      <c r="C116" s="72"/>
      <c r="D116" s="72"/>
      <c r="E116" s="72"/>
      <c r="F116" s="73"/>
      <c r="G116" s="42"/>
    </row>
    <row r="117" spans="1:7" x14ac:dyDescent="0.3">
      <c r="A117" s="72"/>
      <c r="B117" s="72"/>
      <c r="C117" s="72"/>
      <c r="D117" s="72"/>
      <c r="E117" s="72"/>
      <c r="F117" s="73"/>
      <c r="G117" s="42"/>
    </row>
    <row r="118" spans="1:7" x14ac:dyDescent="0.3">
      <c r="A118" s="72"/>
      <c r="B118" s="72"/>
      <c r="C118" s="72"/>
      <c r="D118" s="72"/>
      <c r="E118" s="72"/>
      <c r="F118" s="73"/>
      <c r="G118" s="42"/>
    </row>
    <row r="119" spans="1:7" x14ac:dyDescent="0.3">
      <c r="A119" s="72"/>
      <c r="B119" s="72"/>
      <c r="C119" s="72"/>
      <c r="D119" s="72"/>
      <c r="E119" s="72"/>
      <c r="F119" s="73"/>
      <c r="G119" s="42"/>
    </row>
    <row r="120" spans="1:7" x14ac:dyDescent="0.3">
      <c r="A120" s="72"/>
      <c r="B120" s="72"/>
      <c r="C120" s="72"/>
      <c r="D120" s="72"/>
      <c r="E120" s="72"/>
      <c r="F120" s="73"/>
      <c r="G120" s="42"/>
    </row>
    <row r="121" spans="1:7" x14ac:dyDescent="0.3">
      <c r="A121" s="72"/>
      <c r="B121" s="72"/>
      <c r="C121" s="72"/>
      <c r="D121" s="72"/>
      <c r="E121" s="72"/>
      <c r="F121" s="73"/>
      <c r="G121" s="42"/>
    </row>
    <row r="122" spans="1:7" x14ac:dyDescent="0.3">
      <c r="A122" s="72"/>
      <c r="B122" s="72"/>
      <c r="C122" s="72"/>
      <c r="D122" s="72"/>
      <c r="E122" s="72"/>
      <c r="F122" s="73"/>
      <c r="G122" s="42"/>
    </row>
    <row r="123" spans="1:7" x14ac:dyDescent="0.3">
      <c r="A123" s="72"/>
      <c r="B123" s="72"/>
      <c r="C123" s="72"/>
      <c r="D123" s="72"/>
      <c r="E123" s="72"/>
      <c r="F123" s="73"/>
      <c r="G123" s="42"/>
    </row>
    <row r="124" spans="1:7" x14ac:dyDescent="0.3">
      <c r="A124" s="72"/>
      <c r="B124" s="72"/>
      <c r="C124" s="72"/>
      <c r="D124" s="72"/>
      <c r="E124" s="72"/>
      <c r="F124" s="73"/>
      <c r="G124" s="42"/>
    </row>
    <row r="125" spans="1:7" x14ac:dyDescent="0.3">
      <c r="A125" s="72"/>
      <c r="B125" s="72"/>
      <c r="C125" s="72"/>
      <c r="D125" s="72"/>
      <c r="E125" s="72"/>
      <c r="F125" s="73"/>
      <c r="G125" s="42"/>
    </row>
    <row r="126" spans="1:7" x14ac:dyDescent="0.3">
      <c r="A126" s="72"/>
      <c r="B126" s="72"/>
      <c r="C126" s="72"/>
      <c r="D126" s="72"/>
      <c r="E126" s="72"/>
      <c r="F126" s="73"/>
      <c r="G126" s="42"/>
    </row>
    <row r="127" spans="1:7" x14ac:dyDescent="0.3">
      <c r="A127" s="72"/>
      <c r="B127" s="72"/>
      <c r="C127" s="72"/>
      <c r="D127" s="72"/>
      <c r="E127" s="72"/>
      <c r="F127" s="73"/>
      <c r="G127" s="42"/>
    </row>
    <row r="128" spans="1:7" x14ac:dyDescent="0.3">
      <c r="A128" s="72"/>
      <c r="B128" s="72"/>
      <c r="C128" s="72"/>
      <c r="D128" s="72"/>
      <c r="E128" s="72"/>
      <c r="F128" s="73"/>
      <c r="G128" s="42"/>
    </row>
    <row r="129" spans="1:7" x14ac:dyDescent="0.3">
      <c r="A129" s="72"/>
      <c r="B129" s="72"/>
      <c r="C129" s="72"/>
      <c r="D129" s="72"/>
      <c r="E129" s="72"/>
      <c r="F129" s="73"/>
      <c r="G129" s="42"/>
    </row>
    <row r="130" spans="1:7" x14ac:dyDescent="0.3">
      <c r="A130" s="72"/>
      <c r="B130" s="72"/>
      <c r="C130" s="72"/>
      <c r="D130" s="72"/>
      <c r="E130" s="72"/>
      <c r="F130" s="73"/>
      <c r="G130" s="42"/>
    </row>
    <row r="131" spans="1:7" x14ac:dyDescent="0.3">
      <c r="A131" s="72"/>
      <c r="B131" s="72"/>
      <c r="C131" s="72"/>
      <c r="D131" s="72"/>
      <c r="E131" s="72"/>
      <c r="F131" s="73"/>
      <c r="G131" s="42"/>
    </row>
    <row r="132" spans="1:7" x14ac:dyDescent="0.3">
      <c r="A132" s="72"/>
      <c r="B132" s="72"/>
      <c r="C132" s="72"/>
      <c r="D132" s="72"/>
      <c r="E132" s="72"/>
      <c r="F132" s="73"/>
      <c r="G132" s="42"/>
    </row>
    <row r="133" spans="1:7" x14ac:dyDescent="0.3">
      <c r="A133" s="72"/>
      <c r="B133" s="72"/>
      <c r="C133" s="72"/>
      <c r="D133" s="72"/>
      <c r="E133" s="72"/>
      <c r="F133" s="73"/>
      <c r="G133" s="42"/>
    </row>
    <row r="134" spans="1:7" x14ac:dyDescent="0.3">
      <c r="A134" s="72"/>
      <c r="B134" s="72"/>
      <c r="C134" s="72"/>
      <c r="D134" s="72"/>
      <c r="E134" s="72"/>
      <c r="F134" s="73"/>
      <c r="G134" s="42"/>
    </row>
    <row r="135" spans="1:7" x14ac:dyDescent="0.3">
      <c r="A135" s="72"/>
      <c r="B135" s="72"/>
      <c r="C135" s="72"/>
      <c r="D135" s="72"/>
      <c r="E135" s="72"/>
      <c r="F135" s="73"/>
      <c r="G135" s="42"/>
    </row>
    <row r="136" spans="1:7" x14ac:dyDescent="0.3">
      <c r="A136" s="72"/>
      <c r="B136" s="72"/>
      <c r="C136" s="72"/>
      <c r="D136" s="72"/>
      <c r="E136" s="72"/>
      <c r="F136" s="73"/>
      <c r="G136" s="42"/>
    </row>
    <row r="137" spans="1:7" x14ac:dyDescent="0.3">
      <c r="A137" s="72"/>
      <c r="B137" s="72"/>
      <c r="C137" s="72"/>
      <c r="D137" s="72"/>
      <c r="E137" s="72"/>
      <c r="F137" s="73"/>
      <c r="G137" s="42"/>
    </row>
    <row r="138" spans="1:7" x14ac:dyDescent="0.3">
      <c r="A138" s="72"/>
      <c r="B138" s="72"/>
      <c r="C138" s="72"/>
      <c r="D138" s="72"/>
      <c r="E138" s="72"/>
      <c r="F138" s="73"/>
      <c r="G138" s="42"/>
    </row>
    <row r="139" spans="1:7" x14ac:dyDescent="0.3">
      <c r="A139" s="72"/>
      <c r="B139" s="72"/>
      <c r="C139" s="72"/>
      <c r="D139" s="72"/>
      <c r="E139" s="72"/>
      <c r="F139" s="73"/>
      <c r="G139" s="42"/>
    </row>
    <row r="140" spans="1:7" x14ac:dyDescent="0.3">
      <c r="A140" s="72"/>
      <c r="B140" s="72"/>
      <c r="C140" s="72"/>
      <c r="D140" s="72"/>
      <c r="E140" s="72"/>
      <c r="F140" s="73"/>
      <c r="G140" s="42"/>
    </row>
    <row r="141" spans="1:7" x14ac:dyDescent="0.3">
      <c r="A141" s="72"/>
      <c r="B141" s="72"/>
      <c r="C141" s="72"/>
      <c r="D141" s="72"/>
      <c r="E141" s="72"/>
      <c r="F141" s="73"/>
      <c r="G141" s="42"/>
    </row>
    <row r="142" spans="1:7" x14ac:dyDescent="0.3">
      <c r="A142" s="72"/>
      <c r="B142" s="72"/>
      <c r="C142" s="72"/>
      <c r="D142" s="72"/>
      <c r="E142" s="72"/>
      <c r="F142" s="73"/>
      <c r="G142" s="42"/>
    </row>
    <row r="143" spans="1:7" x14ac:dyDescent="0.3">
      <c r="A143" s="72"/>
      <c r="B143" s="72"/>
      <c r="C143" s="72"/>
      <c r="D143" s="72"/>
      <c r="E143" s="72"/>
      <c r="F143" s="73"/>
      <c r="G143" s="42"/>
    </row>
    <row r="144" spans="1:7" x14ac:dyDescent="0.3">
      <c r="A144" s="72"/>
      <c r="B144" s="72"/>
      <c r="C144" s="72"/>
      <c r="D144" s="72"/>
      <c r="E144" s="72"/>
      <c r="F144" s="73"/>
      <c r="G144" s="42"/>
    </row>
    <row r="145" spans="1:7" x14ac:dyDescent="0.3">
      <c r="A145" s="72"/>
      <c r="B145" s="72"/>
      <c r="C145" s="72"/>
      <c r="D145" s="72"/>
      <c r="E145" s="72"/>
      <c r="F145" s="73"/>
      <c r="G145" s="42"/>
    </row>
    <row r="146" spans="1:7" x14ac:dyDescent="0.3">
      <c r="A146" s="72"/>
      <c r="B146" s="72"/>
      <c r="C146" s="72"/>
      <c r="D146" s="72"/>
      <c r="E146" s="72"/>
      <c r="F146" s="73"/>
      <c r="G146" s="42"/>
    </row>
    <row r="147" spans="1:7" x14ac:dyDescent="0.3">
      <c r="A147" s="72"/>
      <c r="B147" s="72"/>
      <c r="C147" s="72"/>
      <c r="D147" s="72"/>
      <c r="E147" s="72"/>
      <c r="F147" s="73"/>
      <c r="G147" s="42"/>
    </row>
    <row r="148" spans="1:7" x14ac:dyDescent="0.3">
      <c r="A148" s="72"/>
      <c r="B148" s="72"/>
      <c r="C148" s="72"/>
      <c r="D148" s="72"/>
      <c r="E148" s="72"/>
      <c r="F148" s="73"/>
      <c r="G148" s="42"/>
    </row>
    <row r="149" spans="1:7" x14ac:dyDescent="0.3">
      <c r="A149" s="72"/>
      <c r="B149" s="72"/>
      <c r="C149" s="72"/>
      <c r="D149" s="72"/>
      <c r="E149" s="72"/>
      <c r="F149" s="73"/>
      <c r="G149" s="42"/>
    </row>
    <row r="150" spans="1:7" x14ac:dyDescent="0.3">
      <c r="A150" s="72"/>
      <c r="B150" s="72"/>
      <c r="C150" s="72"/>
      <c r="D150" s="72"/>
      <c r="E150" s="72"/>
      <c r="F150" s="73"/>
      <c r="G150" s="42"/>
    </row>
    <row r="151" spans="1:7" x14ac:dyDescent="0.3">
      <c r="A151" s="72"/>
      <c r="B151" s="72"/>
      <c r="C151" s="72"/>
      <c r="D151" s="72"/>
      <c r="E151" s="72"/>
      <c r="F151" s="73"/>
      <c r="G151" s="42"/>
    </row>
    <row r="152" spans="1:7" x14ac:dyDescent="0.3">
      <c r="A152" s="72"/>
      <c r="B152" s="72"/>
      <c r="C152" s="72"/>
      <c r="D152" s="72"/>
      <c r="E152" s="72"/>
      <c r="F152" s="73"/>
      <c r="G152" s="42"/>
    </row>
    <row r="153" spans="1:7" x14ac:dyDescent="0.3">
      <c r="A153" s="72"/>
      <c r="B153" s="72"/>
      <c r="C153" s="72"/>
      <c r="D153" s="72"/>
      <c r="E153" s="72"/>
      <c r="F153" s="73"/>
      <c r="G153" s="42"/>
    </row>
    <row r="154" spans="1:7" x14ac:dyDescent="0.3">
      <c r="A154" s="72"/>
      <c r="B154" s="72"/>
      <c r="C154" s="72"/>
      <c r="D154" s="72"/>
      <c r="E154" s="72"/>
      <c r="F154" s="73"/>
      <c r="G154" s="42"/>
    </row>
    <row r="155" spans="1:7" x14ac:dyDescent="0.3">
      <c r="A155" s="72"/>
      <c r="B155" s="72"/>
      <c r="C155" s="72"/>
      <c r="D155" s="72"/>
      <c r="E155" s="72"/>
      <c r="F155" s="73"/>
      <c r="G155" s="42"/>
    </row>
    <row r="156" spans="1:7" x14ac:dyDescent="0.3">
      <c r="A156" s="72"/>
      <c r="B156" s="72"/>
      <c r="C156" s="72"/>
      <c r="D156" s="72"/>
      <c r="E156" s="72"/>
      <c r="F156" s="73"/>
      <c r="G156" s="42"/>
    </row>
    <row r="157" spans="1:7" x14ac:dyDescent="0.3">
      <c r="A157" s="72"/>
      <c r="B157" s="72"/>
      <c r="C157" s="72"/>
      <c r="D157" s="72"/>
      <c r="E157" s="72"/>
      <c r="F157" s="73"/>
      <c r="G157" s="42"/>
    </row>
    <row r="158" spans="1:7" x14ac:dyDescent="0.3">
      <c r="A158" s="72"/>
      <c r="B158" s="72"/>
      <c r="C158" s="72"/>
      <c r="D158" s="72"/>
      <c r="E158" s="72"/>
      <c r="F158" s="73"/>
      <c r="G158" s="42"/>
    </row>
    <row r="159" spans="1:7" x14ac:dyDescent="0.3">
      <c r="A159" s="72"/>
      <c r="B159" s="72"/>
      <c r="C159" s="72"/>
      <c r="D159" s="72"/>
      <c r="E159" s="72"/>
      <c r="F159" s="73"/>
      <c r="G159" s="42"/>
    </row>
    <row r="160" spans="1:7" x14ac:dyDescent="0.3">
      <c r="A160" s="72"/>
      <c r="B160" s="72"/>
      <c r="C160" s="72"/>
      <c r="D160" s="72"/>
      <c r="E160" s="72"/>
      <c r="F160" s="73"/>
      <c r="G160" s="42"/>
    </row>
    <row r="161" spans="1:7" x14ac:dyDescent="0.3">
      <c r="A161" s="72"/>
      <c r="B161" s="72"/>
      <c r="C161" s="72"/>
      <c r="D161" s="72"/>
      <c r="E161" s="72"/>
      <c r="F161" s="73"/>
      <c r="G161" s="42"/>
    </row>
    <row r="162" spans="1:7" x14ac:dyDescent="0.3">
      <c r="A162" s="72"/>
      <c r="B162" s="72"/>
      <c r="C162" s="72"/>
      <c r="D162" s="72"/>
      <c r="E162" s="72"/>
      <c r="F162" s="73"/>
      <c r="G162" s="42"/>
    </row>
    <row r="163" spans="1:7" x14ac:dyDescent="0.3">
      <c r="A163" s="72"/>
      <c r="B163" s="72"/>
      <c r="C163" s="72"/>
      <c r="D163" s="72"/>
      <c r="E163" s="72"/>
      <c r="F163" s="73"/>
      <c r="G163" s="42"/>
    </row>
    <row r="164" spans="1:7" x14ac:dyDescent="0.3">
      <c r="A164" s="72"/>
      <c r="B164" s="72"/>
      <c r="C164" s="72"/>
      <c r="D164" s="72"/>
      <c r="E164" s="72"/>
      <c r="F164" s="73"/>
      <c r="G164" s="42"/>
    </row>
    <row r="165" spans="1:7" x14ac:dyDescent="0.3">
      <c r="A165" s="72"/>
      <c r="B165" s="72"/>
      <c r="C165" s="72"/>
      <c r="D165" s="72"/>
      <c r="E165" s="72"/>
      <c r="F165" s="73"/>
      <c r="G165" s="42"/>
    </row>
    <row r="166" spans="1:7" x14ac:dyDescent="0.3">
      <c r="A166" s="72"/>
      <c r="B166" s="72"/>
      <c r="C166" s="72"/>
      <c r="D166" s="72"/>
      <c r="E166" s="72"/>
      <c r="F166" s="73"/>
      <c r="G166" s="42"/>
    </row>
    <row r="167" spans="1:7" x14ac:dyDescent="0.3">
      <c r="A167" s="72"/>
      <c r="B167" s="72"/>
      <c r="C167" s="72"/>
      <c r="D167" s="72"/>
      <c r="E167" s="72"/>
      <c r="F167" s="73"/>
      <c r="G167" s="42"/>
    </row>
    <row r="168" spans="1:7" x14ac:dyDescent="0.3">
      <c r="A168" s="72"/>
      <c r="B168" s="72"/>
      <c r="C168" s="72"/>
      <c r="D168" s="72"/>
      <c r="E168" s="72"/>
      <c r="F168" s="73"/>
      <c r="G168" s="42"/>
    </row>
    <row r="169" spans="1:7" x14ac:dyDescent="0.3">
      <c r="A169" s="72"/>
      <c r="B169" s="72"/>
      <c r="C169" s="72"/>
      <c r="D169" s="72"/>
      <c r="E169" s="72"/>
      <c r="F169" s="73"/>
      <c r="G169" s="42"/>
    </row>
    <row r="170" spans="1:7" x14ac:dyDescent="0.3">
      <c r="A170" s="72"/>
      <c r="B170" s="72"/>
      <c r="C170" s="72"/>
      <c r="D170" s="72"/>
      <c r="E170" s="72"/>
      <c r="F170" s="73"/>
      <c r="G170" s="42"/>
    </row>
    <row r="171" spans="1:7" x14ac:dyDescent="0.3">
      <c r="A171" s="72"/>
      <c r="B171" s="72"/>
      <c r="C171" s="72"/>
      <c r="D171" s="72"/>
      <c r="E171" s="72"/>
      <c r="F171" s="73"/>
      <c r="G171" s="42"/>
    </row>
    <row r="172" spans="1:7" x14ac:dyDescent="0.3">
      <c r="A172" s="72"/>
      <c r="B172" s="72"/>
      <c r="C172" s="72"/>
      <c r="D172" s="72"/>
      <c r="E172" s="72"/>
      <c r="F172" s="73"/>
      <c r="G172" s="42"/>
    </row>
    <row r="173" spans="1:7" x14ac:dyDescent="0.3">
      <c r="A173" s="72"/>
      <c r="B173" s="72"/>
      <c r="C173" s="72"/>
      <c r="D173" s="72"/>
      <c r="E173" s="72"/>
      <c r="F173" s="73"/>
      <c r="G173" s="42"/>
    </row>
    <row r="174" spans="1:7" x14ac:dyDescent="0.3">
      <c r="A174" s="72"/>
      <c r="B174" s="72"/>
      <c r="C174" s="72"/>
      <c r="D174" s="72"/>
      <c r="E174" s="72"/>
      <c r="F174" s="73"/>
      <c r="G174" s="42"/>
    </row>
    <row r="175" spans="1:7" x14ac:dyDescent="0.3">
      <c r="A175" s="72"/>
      <c r="B175" s="72"/>
      <c r="C175" s="72"/>
      <c r="D175" s="72"/>
      <c r="E175" s="72"/>
      <c r="F175" s="73"/>
      <c r="G175" s="42"/>
    </row>
    <row r="176" spans="1:7" x14ac:dyDescent="0.3">
      <c r="A176" s="72"/>
      <c r="B176" s="72"/>
      <c r="C176" s="72"/>
      <c r="D176" s="72"/>
      <c r="E176" s="72"/>
      <c r="F176" s="73"/>
      <c r="G176" s="42"/>
    </row>
    <row r="177" spans="1:7" x14ac:dyDescent="0.3">
      <c r="A177" s="72"/>
      <c r="B177" s="72"/>
      <c r="C177" s="72"/>
      <c r="D177" s="72"/>
      <c r="E177" s="72"/>
      <c r="F177" s="73"/>
      <c r="G177" s="42"/>
    </row>
    <row r="178" spans="1:7" x14ac:dyDescent="0.3">
      <c r="A178" s="72"/>
      <c r="B178" s="72"/>
      <c r="C178" s="72"/>
      <c r="D178" s="72"/>
      <c r="E178" s="72"/>
      <c r="F178" s="73"/>
      <c r="G178" s="42"/>
    </row>
    <row r="179" spans="1:7" x14ac:dyDescent="0.3">
      <c r="A179" s="72"/>
      <c r="B179" s="72"/>
      <c r="C179" s="72"/>
      <c r="D179" s="72"/>
      <c r="E179" s="72"/>
      <c r="F179" s="73"/>
      <c r="G179" s="42"/>
    </row>
    <row r="180" spans="1:7" x14ac:dyDescent="0.3">
      <c r="A180" s="72"/>
      <c r="B180" s="72"/>
      <c r="C180" s="72"/>
      <c r="D180" s="72"/>
      <c r="E180" s="72"/>
      <c r="F180" s="73"/>
      <c r="G180" s="42"/>
    </row>
    <row r="181" spans="1:7" x14ac:dyDescent="0.3">
      <c r="A181" s="72"/>
      <c r="B181" s="72"/>
      <c r="C181" s="72"/>
      <c r="D181" s="72"/>
      <c r="E181" s="72"/>
      <c r="F181" s="73"/>
      <c r="G181" s="42"/>
    </row>
    <row r="182" spans="1:7" x14ac:dyDescent="0.3">
      <c r="A182" s="72"/>
      <c r="B182" s="72"/>
      <c r="C182" s="72"/>
      <c r="D182" s="72"/>
      <c r="E182" s="72"/>
      <c r="F182" s="73"/>
      <c r="G182" s="42"/>
    </row>
    <row r="183" spans="1:7" x14ac:dyDescent="0.3">
      <c r="A183" s="72"/>
      <c r="B183" s="72"/>
      <c r="C183" s="72"/>
      <c r="D183" s="72"/>
      <c r="E183" s="72"/>
      <c r="F183" s="73"/>
      <c r="G183" s="42"/>
    </row>
    <row r="184" spans="1:7" x14ac:dyDescent="0.3">
      <c r="A184" s="72"/>
      <c r="B184" s="72"/>
      <c r="C184" s="72"/>
      <c r="D184" s="72"/>
      <c r="E184" s="72"/>
      <c r="F184" s="73"/>
      <c r="G184" s="42"/>
    </row>
    <row r="185" spans="1:7" x14ac:dyDescent="0.3">
      <c r="A185" s="72"/>
      <c r="B185" s="72"/>
      <c r="C185" s="72"/>
      <c r="D185" s="72"/>
      <c r="E185" s="72"/>
      <c r="F185" s="73"/>
      <c r="G185" s="42"/>
    </row>
    <row r="186" spans="1:7" x14ac:dyDescent="0.3">
      <c r="A186" s="72"/>
      <c r="B186" s="72"/>
      <c r="C186" s="72"/>
      <c r="D186" s="72"/>
      <c r="E186" s="72"/>
      <c r="F186" s="73"/>
      <c r="G186" s="42"/>
    </row>
    <row r="187" spans="1:7" x14ac:dyDescent="0.3">
      <c r="A187" s="72"/>
      <c r="B187" s="72"/>
      <c r="C187" s="72"/>
      <c r="D187" s="72"/>
      <c r="E187" s="72"/>
      <c r="F187" s="73"/>
      <c r="G187" s="42"/>
    </row>
    <row r="188" spans="1:7" x14ac:dyDescent="0.3">
      <c r="A188" s="72"/>
      <c r="B188" s="72"/>
      <c r="C188" s="72"/>
      <c r="D188" s="72"/>
      <c r="E188" s="72"/>
      <c r="F188" s="73"/>
      <c r="G188" s="42"/>
    </row>
    <row r="189" spans="1:7" x14ac:dyDescent="0.3">
      <c r="A189" s="72"/>
      <c r="B189" s="72"/>
      <c r="C189" s="72"/>
      <c r="D189" s="72"/>
      <c r="E189" s="72"/>
      <c r="F189" s="73"/>
      <c r="G189" s="42"/>
    </row>
    <row r="190" spans="1:7" x14ac:dyDescent="0.3">
      <c r="A190" s="72"/>
      <c r="B190" s="72"/>
      <c r="C190" s="72"/>
      <c r="D190" s="72"/>
      <c r="E190" s="72"/>
      <c r="F190" s="73"/>
      <c r="G190" s="42"/>
    </row>
    <row r="191" spans="1:7" x14ac:dyDescent="0.3">
      <c r="A191" s="72"/>
      <c r="B191" s="72"/>
      <c r="C191" s="72"/>
      <c r="D191" s="72"/>
      <c r="E191" s="72"/>
      <c r="F191" s="73"/>
      <c r="G191" s="42"/>
    </row>
    <row r="192" spans="1:7" x14ac:dyDescent="0.3">
      <c r="A192" s="72"/>
      <c r="B192" s="72"/>
      <c r="C192" s="72"/>
      <c r="D192" s="72"/>
      <c r="E192" s="72"/>
      <c r="F192" s="73"/>
      <c r="G192" s="42"/>
    </row>
    <row r="193" spans="1:7" x14ac:dyDescent="0.3">
      <c r="A193" s="72"/>
      <c r="B193" s="72"/>
      <c r="C193" s="72"/>
      <c r="D193" s="72"/>
      <c r="E193" s="72"/>
      <c r="F193" s="73"/>
      <c r="G193" s="42"/>
    </row>
    <row r="194" spans="1:7" x14ac:dyDescent="0.3">
      <c r="A194" s="72"/>
      <c r="B194" s="72"/>
      <c r="C194" s="72"/>
      <c r="D194" s="72"/>
      <c r="E194" s="72"/>
      <c r="F194" s="73"/>
      <c r="G194" s="42"/>
    </row>
    <row r="195" spans="1:7" x14ac:dyDescent="0.3">
      <c r="A195" s="72"/>
      <c r="B195" s="72"/>
      <c r="C195" s="72"/>
      <c r="D195" s="72"/>
      <c r="E195" s="72"/>
      <c r="F195" s="73"/>
      <c r="G195" s="42"/>
    </row>
    <row r="196" spans="1:7" x14ac:dyDescent="0.3">
      <c r="A196" s="72"/>
      <c r="B196" s="72"/>
      <c r="C196" s="72"/>
      <c r="D196" s="72"/>
      <c r="E196" s="72"/>
      <c r="F196" s="73"/>
      <c r="G196" s="42"/>
    </row>
    <row r="197" spans="1:7" x14ac:dyDescent="0.3">
      <c r="A197" s="72"/>
      <c r="B197" s="72"/>
      <c r="C197" s="72"/>
      <c r="D197" s="72"/>
      <c r="E197" s="72"/>
      <c r="F197" s="73"/>
      <c r="G197" s="42"/>
    </row>
    <row r="198" spans="1:7" x14ac:dyDescent="0.3">
      <c r="A198" s="72"/>
      <c r="B198" s="72"/>
      <c r="C198" s="72"/>
      <c r="D198" s="72"/>
      <c r="E198" s="72"/>
      <c r="F198" s="73"/>
      <c r="G198" s="42"/>
    </row>
    <row r="199" spans="1:7" x14ac:dyDescent="0.3">
      <c r="A199" s="72"/>
      <c r="B199" s="72"/>
      <c r="C199" s="72"/>
      <c r="D199" s="72"/>
      <c r="E199" s="72"/>
      <c r="F199" s="73"/>
      <c r="G199" s="42"/>
    </row>
    <row r="200" spans="1:7" x14ac:dyDescent="0.3">
      <c r="A200" s="72"/>
      <c r="B200" s="72"/>
      <c r="C200" s="72"/>
      <c r="D200" s="72"/>
      <c r="E200" s="72"/>
      <c r="F200" s="73"/>
      <c r="G200" s="42"/>
    </row>
    <row r="201" spans="1:7" x14ac:dyDescent="0.3">
      <c r="A201" s="72"/>
      <c r="B201" s="72"/>
      <c r="C201" s="72"/>
      <c r="D201" s="72"/>
      <c r="E201" s="72"/>
      <c r="F201" s="73"/>
      <c r="G201" s="42"/>
    </row>
    <row r="202" spans="1:7" x14ac:dyDescent="0.3">
      <c r="A202" s="72"/>
      <c r="B202" s="72"/>
      <c r="C202" s="72"/>
      <c r="D202" s="72"/>
      <c r="E202" s="72"/>
      <c r="F202" s="73"/>
      <c r="G202" s="42"/>
    </row>
    <row r="203" spans="1:7" x14ac:dyDescent="0.3">
      <c r="A203" s="72"/>
      <c r="B203" s="72"/>
      <c r="C203" s="72"/>
      <c r="D203" s="72"/>
      <c r="E203" s="72"/>
      <c r="F203" s="73"/>
      <c r="G203" s="42"/>
    </row>
    <row r="204" spans="1:7" x14ac:dyDescent="0.3">
      <c r="A204" s="72"/>
      <c r="B204" s="72"/>
      <c r="C204" s="72"/>
      <c r="D204" s="72"/>
      <c r="E204" s="72"/>
      <c r="F204" s="73"/>
      <c r="G204" s="42"/>
    </row>
    <row r="205" spans="1:7" x14ac:dyDescent="0.3">
      <c r="A205" s="72"/>
      <c r="B205" s="72"/>
      <c r="C205" s="72"/>
      <c r="D205" s="72"/>
      <c r="E205" s="72"/>
      <c r="F205" s="73"/>
      <c r="G205" s="42"/>
    </row>
    <row r="206" spans="1:7" x14ac:dyDescent="0.3">
      <c r="A206" s="72"/>
      <c r="B206" s="72"/>
      <c r="C206" s="72"/>
      <c r="D206" s="72"/>
      <c r="E206" s="72"/>
      <c r="F206" s="73"/>
      <c r="G206" s="42"/>
    </row>
    <row r="207" spans="1:7" x14ac:dyDescent="0.3">
      <c r="A207" s="72"/>
      <c r="B207" s="72"/>
      <c r="C207" s="72"/>
      <c r="D207" s="72"/>
      <c r="E207" s="72"/>
      <c r="F207" s="73"/>
      <c r="G207" s="42"/>
    </row>
    <row r="208" spans="1:7" x14ac:dyDescent="0.3">
      <c r="A208" s="72"/>
      <c r="B208" s="72"/>
      <c r="C208" s="72"/>
      <c r="D208" s="72"/>
      <c r="E208" s="72"/>
      <c r="F208" s="73"/>
      <c r="G208" s="42"/>
    </row>
    <row r="209" spans="1:7" x14ac:dyDescent="0.3">
      <c r="A209" s="72"/>
      <c r="B209" s="72"/>
      <c r="C209" s="72"/>
      <c r="D209" s="72"/>
      <c r="E209" s="72"/>
      <c r="F209" s="73"/>
      <c r="G209" s="42"/>
    </row>
    <row r="210" spans="1:7" x14ac:dyDescent="0.3">
      <c r="A210" s="72"/>
      <c r="B210" s="72"/>
      <c r="C210" s="72"/>
      <c r="D210" s="72"/>
      <c r="E210" s="72"/>
      <c r="F210" s="73"/>
      <c r="G210" s="42"/>
    </row>
  </sheetData>
  <mergeCells count="10">
    <mergeCell ref="A47:G47"/>
    <mergeCell ref="A61:G61"/>
    <mergeCell ref="A70:G70"/>
    <mergeCell ref="A90:G90"/>
    <mergeCell ref="A2:G2"/>
    <mergeCell ref="H2:I2"/>
    <mergeCell ref="A9:G9"/>
    <mergeCell ref="H12:I12"/>
    <mergeCell ref="A20:G20"/>
    <mergeCell ref="A26:G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GENERALES</vt:lpstr>
      <vt:lpstr>MONTAJE </vt:lpstr>
      <vt:lpstr>CALIBRACION </vt:lpstr>
      <vt:lpstr>URDIDO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CINTATEX</dc:creator>
  <cp:lastModifiedBy>PAUCAR GUALOTUÑA JHONNI ALEXANDER</cp:lastModifiedBy>
  <dcterms:created xsi:type="dcterms:W3CDTF">2026-09-08T16:05:38Z</dcterms:created>
  <dcterms:modified xsi:type="dcterms:W3CDTF">2026-10-10T20:09:49Z</dcterms:modified>
</cp:coreProperties>
</file>