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ORDENES POR MESES\"/>
    </mc:Choice>
  </mc:AlternateContent>
  <xr:revisionPtr revIDLastSave="0" documentId="13_ncr:1_{4653C90E-E611-49F2-83E0-23B3C0434412}" xr6:coauthVersionLast="47" xr6:coauthVersionMax="47" xr10:uidLastSave="{00000000-0000-0000-0000-000000000000}"/>
  <bookViews>
    <workbookView xWindow="28680" yWindow="-120" windowWidth="19440" windowHeight="10320" tabRatio="670" firstSheet="1" activeTab="2" xr2:uid="{00000000-000D-0000-FFFF-FFFF00000000}"/>
  </bookViews>
  <sheets>
    <sheet name="DATOS GENERALES " sheetId="1" r:id="rId1"/>
    <sheet name="RESUMEN " sheetId="5" r:id="rId2"/>
    <sheet name="Hoja1" sheetId="9" r:id="rId3"/>
    <sheet name="MONTAJE " sheetId="8" r:id="rId4"/>
    <sheet name="CALIBRACION" sheetId="6" r:id="rId5"/>
  </sheets>
  <externalReferences>
    <externalReference r:id="rId6"/>
  </externalReferences>
  <definedNames>
    <definedName name="_xlnm._FilterDatabase" localSheetId="0" hidden="1">'DATOS GENERALES '!$A$1:$AX$73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73" i="1" l="1"/>
  <c r="L73" i="1"/>
  <c r="G76" i="1"/>
  <c r="F76" i="1"/>
  <c r="AE46" i="1"/>
  <c r="Y46" i="1"/>
  <c r="Z46" i="1" s="1"/>
  <c r="X46" i="1"/>
  <c r="V46" i="1"/>
  <c r="T46" i="1"/>
  <c r="R46" i="1"/>
  <c r="L46" i="1"/>
  <c r="T18" i="9"/>
  <c r="T17" i="9"/>
  <c r="T16" i="9"/>
  <c r="T15" i="9"/>
  <c r="T14" i="9"/>
  <c r="C57" i="8"/>
  <c r="J54" i="8"/>
  <c r="F78" i="1" l="1"/>
  <c r="Y73" i="1"/>
  <c r="Z73" i="1" s="1"/>
  <c r="X73" i="1"/>
  <c r="V73" i="1"/>
  <c r="T73" i="1"/>
  <c r="R73" i="1"/>
  <c r="AF73" i="1"/>
  <c r="AH73" i="1" s="1"/>
  <c r="I36" i="5"/>
  <c r="AF69" i="1" l="1"/>
  <c r="Y2" i="1"/>
  <c r="Z2" i="1" s="1"/>
  <c r="AG20" i="1" l="1"/>
  <c r="AG16" i="1" l="1"/>
  <c r="X37" i="1" l="1"/>
  <c r="X21" i="1"/>
  <c r="X38" i="1"/>
  <c r="X15" i="1"/>
  <c r="X26" i="1"/>
  <c r="X16" i="1"/>
  <c r="X72" i="1"/>
  <c r="X19" i="1"/>
  <c r="X42" i="1"/>
  <c r="X39" i="1"/>
  <c r="X40" i="1"/>
  <c r="X43" i="1"/>
  <c r="X41" i="1"/>
  <c r="X71" i="1"/>
  <c r="X22" i="1"/>
  <c r="X17" i="1"/>
  <c r="X20" i="1"/>
  <c r="X18" i="1"/>
  <c r="X44" i="1"/>
  <c r="X45" i="1"/>
  <c r="X47" i="1"/>
  <c r="X48" i="1"/>
  <c r="X49" i="1"/>
  <c r="X50" i="1"/>
  <c r="X51" i="1"/>
  <c r="X52" i="1"/>
  <c r="I22" i="1" l="1"/>
  <c r="I72" i="1" l="1"/>
  <c r="AG43" i="1" l="1"/>
  <c r="AG40" i="1" l="1"/>
  <c r="AG39" i="1" l="1"/>
  <c r="C3" i="6" l="1"/>
  <c r="AF47" i="1"/>
  <c r="AH47" i="1" s="1"/>
  <c r="AF48" i="1"/>
  <c r="AH48" i="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5" i="8"/>
  <c r="J2" i="8"/>
  <c r="E57" i="8"/>
  <c r="F57" i="8"/>
  <c r="B57" i="8"/>
  <c r="G57" i="8"/>
  <c r="H57" i="8"/>
  <c r="I57" i="8"/>
  <c r="D57" i="8"/>
  <c r="J57" i="8" l="1"/>
  <c r="Y29" i="1"/>
  <c r="Z29" i="1" s="1"/>
  <c r="Y21" i="1"/>
  <c r="Z21" i="1" s="1"/>
  <c r="X31" i="1"/>
  <c r="Y31" i="1"/>
  <c r="Z31" i="1" s="1"/>
  <c r="V31" i="1"/>
  <c r="T31" i="1"/>
  <c r="R31" i="1"/>
  <c r="R30" i="1"/>
  <c r="T30" i="1"/>
  <c r="V30" i="1"/>
  <c r="Y30" i="1"/>
  <c r="Z30" i="1" s="1"/>
  <c r="L71" i="5"/>
  <c r="L70" i="5"/>
  <c r="L69" i="5"/>
  <c r="L68" i="5"/>
  <c r="L67" i="5"/>
  <c r="L66" i="5"/>
  <c r="L65" i="5"/>
  <c r="L64" i="5"/>
  <c r="L63" i="5"/>
  <c r="L62" i="5"/>
  <c r="I28" i="5" l="1"/>
  <c r="I29" i="5"/>
  <c r="I30" i="5"/>
  <c r="I31" i="5"/>
  <c r="I32" i="5"/>
  <c r="I33" i="5"/>
  <c r="I34" i="5"/>
  <c r="I35" i="5"/>
  <c r="I27" i="5"/>
  <c r="C4" i="6"/>
  <c r="C5" i="6"/>
  <c r="C6" i="6"/>
  <c r="C7" i="6"/>
  <c r="C8" i="6"/>
  <c r="C9" i="6" l="1"/>
  <c r="AG21" i="1" l="1"/>
  <c r="T38" i="1" l="1"/>
  <c r="T14" i="1"/>
  <c r="T15" i="1"/>
  <c r="T26" i="1"/>
  <c r="T16" i="1"/>
  <c r="T72" i="1"/>
  <c r="T21" i="1"/>
  <c r="T19" i="1"/>
  <c r="T42" i="1"/>
  <c r="T39" i="1"/>
  <c r="T40" i="1"/>
  <c r="T43" i="1"/>
  <c r="T41" i="1"/>
  <c r="T71" i="1"/>
  <c r="T22" i="1"/>
  <c r="T17" i="1"/>
  <c r="T20" i="1"/>
  <c r="T18" i="1"/>
  <c r="T44" i="1"/>
  <c r="T45" i="1"/>
  <c r="T47" i="1"/>
  <c r="V38" i="1"/>
  <c r="V14" i="1"/>
  <c r="V15" i="1"/>
  <c r="V26" i="1"/>
  <c r="V16" i="1"/>
  <c r="V72" i="1"/>
  <c r="V21" i="1"/>
  <c r="V19" i="1"/>
  <c r="V42" i="1"/>
  <c r="V39" i="1"/>
  <c r="V40" i="1"/>
  <c r="V43" i="1"/>
  <c r="V41" i="1"/>
  <c r="V71" i="1"/>
  <c r="V22" i="1"/>
  <c r="V17" i="1"/>
  <c r="V20" i="1"/>
  <c r="V18" i="1"/>
  <c r="V44" i="1"/>
  <c r="V45" i="1"/>
  <c r="V47" i="1"/>
  <c r="V48" i="1"/>
  <c r="V49" i="1"/>
  <c r="V50" i="1"/>
  <c r="V51" i="1"/>
  <c r="V52" i="1"/>
  <c r="V53" i="1"/>
  <c r="V54" i="1"/>
  <c r="V55" i="1"/>
  <c r="L16" i="1"/>
  <c r="L72" i="1"/>
  <c r="L21" i="1"/>
  <c r="L19" i="1"/>
  <c r="L42" i="1"/>
  <c r="L39" i="1"/>
  <c r="L40" i="1"/>
  <c r="L43" i="1"/>
  <c r="L41" i="1"/>
  <c r="L71" i="1"/>
  <c r="L22" i="1"/>
  <c r="L17" i="1"/>
  <c r="L20" i="1"/>
  <c r="L18" i="1"/>
  <c r="L44" i="1"/>
  <c r="L45" i="1"/>
  <c r="R21" i="1" l="1"/>
  <c r="R19" i="1"/>
  <c r="R42" i="1"/>
  <c r="R39" i="1"/>
  <c r="R40" i="1"/>
  <c r="R43" i="1"/>
  <c r="R41" i="1"/>
  <c r="R71" i="1"/>
  <c r="R22" i="1"/>
  <c r="R17" i="1"/>
  <c r="R20" i="1"/>
  <c r="R18" i="1"/>
  <c r="R44" i="1"/>
  <c r="R45" i="1"/>
  <c r="R47" i="1"/>
  <c r="R48" i="1"/>
  <c r="R49" i="1"/>
  <c r="R50" i="1"/>
  <c r="F45" i="1" l="1"/>
  <c r="AF51" i="1"/>
  <c r="AH51" i="1" s="1"/>
  <c r="Y51" i="1"/>
  <c r="Z51" i="1" s="1"/>
  <c r="T51" i="1"/>
  <c r="R51" i="1"/>
  <c r="AF50" i="1"/>
  <c r="AH50" i="1" s="1"/>
  <c r="Y50" i="1"/>
  <c r="Z50" i="1" s="1"/>
  <c r="T50" i="1"/>
  <c r="AF49" i="1"/>
  <c r="AH49" i="1" s="1"/>
  <c r="Y49" i="1"/>
  <c r="Z49" i="1" s="1"/>
  <c r="T49" i="1"/>
  <c r="Y48" i="1"/>
  <c r="Z48" i="1" s="1"/>
  <c r="T48" i="1"/>
  <c r="Y47" i="1"/>
  <c r="Z47" i="1" s="1"/>
  <c r="Z70" i="1" l="1"/>
  <c r="AG29" i="1" l="1"/>
  <c r="AF29" i="1" l="1"/>
  <c r="Y18" i="1" l="1"/>
  <c r="Z18" i="1" s="1"/>
  <c r="I21" i="1" l="1"/>
  <c r="F21" i="1" l="1"/>
  <c r="L3" i="1" l="1"/>
  <c r="AG36" i="1" l="1"/>
  <c r="AL68" i="1" l="1"/>
  <c r="L70" i="1"/>
  <c r="T65" i="1"/>
  <c r="V65" i="1"/>
  <c r="Y20" i="1" l="1"/>
  <c r="Z20" i="1" s="1"/>
  <c r="Y17" i="1"/>
  <c r="Z17" i="1" s="1"/>
  <c r="Y22" i="1" l="1"/>
  <c r="Z22" i="1" s="1"/>
  <c r="AF43" i="1" l="1"/>
  <c r="AH43" i="1" s="1"/>
  <c r="AF41" i="1"/>
  <c r="AH41" i="1" s="1"/>
  <c r="AF71" i="1"/>
  <c r="AH71" i="1" s="1"/>
  <c r="AF22" i="1"/>
  <c r="AH22" i="1" s="1"/>
  <c r="AF17" i="1"/>
  <c r="AH17" i="1" s="1"/>
  <c r="AF20" i="1"/>
  <c r="AH20" i="1" s="1"/>
  <c r="AF18" i="1"/>
  <c r="AH18" i="1" s="1"/>
  <c r="AF44" i="1"/>
  <c r="AH44" i="1" s="1"/>
  <c r="Y71" i="1" l="1"/>
  <c r="Z71" i="1" s="1"/>
  <c r="AF70" i="1" l="1"/>
  <c r="AH70" i="1" s="1"/>
  <c r="Y41" i="1" l="1"/>
  <c r="Z41" i="1" s="1"/>
  <c r="AG12" i="1" l="1"/>
  <c r="AG10" i="1" l="1"/>
  <c r="AG64" i="1" l="1"/>
  <c r="V64" i="1"/>
  <c r="L34" i="1" l="1"/>
  <c r="L35" i="1"/>
  <c r="L24" i="1"/>
  <c r="L38" i="1"/>
  <c r="L13" i="1"/>
  <c r="L25" i="1"/>
  <c r="L9" i="1"/>
  <c r="L14" i="1"/>
  <c r="L10" i="1"/>
  <c r="L36" i="1"/>
  <c r="L15" i="1"/>
  <c r="L26" i="1"/>
  <c r="L11" i="1"/>
  <c r="Y44" i="1" l="1"/>
  <c r="Z44" i="1" s="1"/>
  <c r="AF52" i="1"/>
  <c r="AH52" i="1" s="1"/>
  <c r="Y52" i="1"/>
  <c r="Z52" i="1" s="1"/>
  <c r="T52" i="1"/>
  <c r="R52" i="1"/>
  <c r="AF45" i="1"/>
  <c r="AH45" i="1" s="1"/>
  <c r="Y45" i="1"/>
  <c r="Z45" i="1" s="1"/>
  <c r="AF54" i="1"/>
  <c r="AH54" i="1" s="1"/>
  <c r="Y54" i="1"/>
  <c r="Z54" i="1" s="1"/>
  <c r="X54" i="1"/>
  <c r="T54" i="1"/>
  <c r="R54" i="1"/>
  <c r="AF53" i="1"/>
  <c r="AH53" i="1" s="1"/>
  <c r="Y53" i="1"/>
  <c r="Z53" i="1" s="1"/>
  <c r="X53" i="1"/>
  <c r="T53" i="1"/>
  <c r="R53" i="1"/>
  <c r="AF56" i="1"/>
  <c r="AH56" i="1" s="1"/>
  <c r="Y56" i="1"/>
  <c r="Z56" i="1" s="1"/>
  <c r="X56" i="1"/>
  <c r="V56" i="1"/>
  <c r="T56" i="1"/>
  <c r="R56" i="1"/>
  <c r="AF55" i="1"/>
  <c r="AH55" i="1" s="1"/>
  <c r="Y55" i="1"/>
  <c r="Z55" i="1" s="1"/>
  <c r="X55" i="1"/>
  <c r="T55" i="1"/>
  <c r="R55" i="1"/>
  <c r="AF58" i="1"/>
  <c r="AH58" i="1" s="1"/>
  <c r="Y58" i="1"/>
  <c r="Z58" i="1" s="1"/>
  <c r="X58" i="1"/>
  <c r="V58" i="1"/>
  <c r="T58" i="1"/>
  <c r="R58" i="1"/>
  <c r="AF57" i="1"/>
  <c r="AH57" i="1" s="1"/>
  <c r="Y57" i="1"/>
  <c r="Z57" i="1" s="1"/>
  <c r="X57" i="1"/>
  <c r="V57" i="1"/>
  <c r="T57" i="1"/>
  <c r="R57" i="1"/>
  <c r="AG37" i="1" l="1"/>
  <c r="L37" i="1"/>
  <c r="L30" i="1"/>
  <c r="L33" i="1"/>
  <c r="L32" i="1"/>
  <c r="L28" i="1"/>
  <c r="AG35" i="1" l="1"/>
  <c r="AG8" i="1" l="1"/>
  <c r="T8" i="1"/>
  <c r="AG32" i="1" l="1"/>
  <c r="AL6" i="1" l="1"/>
  <c r="X30" i="1" l="1"/>
  <c r="AF21" i="1" l="1"/>
  <c r="AH21" i="1" s="1"/>
  <c r="F72" i="1"/>
  <c r="AF72" i="1" s="1"/>
  <c r="AH72" i="1" s="1"/>
  <c r="AF15" i="1"/>
  <c r="AH15" i="1" s="1"/>
  <c r="Y15" i="1"/>
  <c r="Z15" i="1" s="1"/>
  <c r="R15" i="1"/>
  <c r="AF36" i="1"/>
  <c r="AH36" i="1" s="1"/>
  <c r="Y36" i="1"/>
  <c r="Z36" i="1" s="1"/>
  <c r="X36" i="1"/>
  <c r="V36" i="1"/>
  <c r="T36" i="1"/>
  <c r="R36" i="1"/>
  <c r="AF10" i="1"/>
  <c r="AH10" i="1" s="1"/>
  <c r="Y10" i="1"/>
  <c r="Z10" i="1" s="1"/>
  <c r="X10" i="1"/>
  <c r="V10" i="1"/>
  <c r="T10" i="1"/>
  <c r="R10" i="1"/>
  <c r="Y72" i="1"/>
  <c r="Z72" i="1" s="1"/>
  <c r="R72" i="1"/>
  <c r="AF16" i="1"/>
  <c r="AH16" i="1" s="1"/>
  <c r="Y16" i="1"/>
  <c r="Z16" i="1" s="1"/>
  <c r="R16" i="1"/>
  <c r="AF26" i="1"/>
  <c r="Z26" i="1" s="1"/>
  <c r="Y26" i="1"/>
  <c r="R26" i="1"/>
  <c r="AF19" i="1"/>
  <c r="AH19" i="1" s="1"/>
  <c r="Y19" i="1"/>
  <c r="Z19" i="1" s="1"/>
  <c r="AF40" i="1"/>
  <c r="AH40" i="1" s="1"/>
  <c r="Y40" i="1"/>
  <c r="Z40" i="1" s="1"/>
  <c r="AH39" i="1"/>
  <c r="Y39" i="1"/>
  <c r="Z39" i="1" s="1"/>
  <c r="AF11" i="1"/>
  <c r="AH11" i="1" s="1"/>
  <c r="Y11" i="1"/>
  <c r="Z11" i="1" s="1"/>
  <c r="X11" i="1"/>
  <c r="V11" i="1"/>
  <c r="T11" i="1"/>
  <c r="R11" i="1"/>
  <c r="AH26" i="1" l="1"/>
  <c r="AG7" i="1"/>
  <c r="AG33" i="1" l="1"/>
  <c r="Y5" i="1" l="1"/>
  <c r="Z5" i="1" s="1"/>
  <c r="X5" i="1"/>
  <c r="T5" i="1"/>
  <c r="R5" i="1"/>
  <c r="AF28" i="1" l="1"/>
  <c r="X27" i="1"/>
  <c r="F9" i="1"/>
  <c r="AF5" i="1" l="1"/>
  <c r="AH5" i="1" s="1"/>
  <c r="AG6" i="1"/>
  <c r="AG5" i="1" l="1"/>
  <c r="L31" i="1" l="1"/>
  <c r="AF31" i="1"/>
  <c r="AH31" i="1" s="1"/>
  <c r="AG4" i="1" l="1"/>
  <c r="AF4" i="1"/>
  <c r="AG30" i="1" l="1"/>
  <c r="AG3" i="1" l="1"/>
  <c r="AG2" i="1" l="1"/>
  <c r="AF2" i="1" l="1"/>
  <c r="AH69" i="1" l="1"/>
  <c r="AF3" i="1"/>
  <c r="AH3" i="1" s="1"/>
  <c r="AF30" i="1"/>
  <c r="AH30" i="1" s="1"/>
  <c r="AH4" i="1"/>
  <c r="AF6" i="1"/>
  <c r="AH6" i="1" s="1"/>
  <c r="AH29" i="1"/>
  <c r="AF68" i="1"/>
  <c r="AH68" i="1" s="1"/>
  <c r="AF42" i="1"/>
  <c r="AH42" i="1" s="1"/>
  <c r="AF8" i="1"/>
  <c r="AH8" i="1" s="1"/>
  <c r="AH28" i="1"/>
  <c r="AF33" i="1"/>
  <c r="AH33" i="1" s="1"/>
  <c r="AF27" i="1"/>
  <c r="Z27" i="1" s="1"/>
  <c r="AF23" i="1"/>
  <c r="Z23" i="1" s="1"/>
  <c r="AF24" i="1"/>
  <c r="Z24" i="1" s="1"/>
  <c r="AF12" i="1"/>
  <c r="AH12" i="1" s="1"/>
  <c r="AF67" i="1"/>
  <c r="Z67" i="1" s="1"/>
  <c r="AF32" i="1"/>
  <c r="AH32" i="1" s="1"/>
  <c r="AF7" i="1"/>
  <c r="AH7" i="1" s="1"/>
  <c r="AF13" i="1"/>
  <c r="AH13" i="1" s="1"/>
  <c r="AF25" i="1"/>
  <c r="Z25" i="1" s="1"/>
  <c r="AF65" i="1"/>
  <c r="AH65" i="1" s="1"/>
  <c r="AF35" i="1"/>
  <c r="AH35" i="1" s="1"/>
  <c r="AF9" i="1"/>
  <c r="AH9" i="1" s="1"/>
  <c r="AF14" i="1"/>
  <c r="AH14" i="1" s="1"/>
  <c r="AF34" i="1"/>
  <c r="AH34" i="1" s="1"/>
  <c r="AF59" i="1"/>
  <c r="AH59" i="1" s="1"/>
  <c r="AF60" i="1"/>
  <c r="AH60" i="1" s="1"/>
  <c r="AF61" i="1"/>
  <c r="AH61" i="1" s="1"/>
  <c r="AF62" i="1"/>
  <c r="AH62" i="1" s="1"/>
  <c r="AH2" i="1"/>
  <c r="R25" i="1"/>
  <c r="T25" i="1"/>
  <c r="V25" i="1"/>
  <c r="X25" i="1"/>
  <c r="Y25" i="1"/>
  <c r="AH67" i="1" l="1"/>
  <c r="AH25" i="1"/>
  <c r="AH24" i="1"/>
  <c r="AH27" i="1"/>
  <c r="AH23" i="1"/>
  <c r="F37" i="1"/>
  <c r="AF37" i="1" l="1"/>
  <c r="AH37" i="1" s="1"/>
  <c r="Y38" i="1"/>
  <c r="Z38" i="1" s="1"/>
  <c r="Y7" i="1"/>
  <c r="Z7" i="1" s="1"/>
  <c r="Y13" i="1"/>
  <c r="Z13" i="1" s="1"/>
  <c r="Y65" i="1"/>
  <c r="Y37" i="1"/>
  <c r="Z37" i="1" s="1"/>
  <c r="Y35" i="1"/>
  <c r="Z35" i="1" s="1"/>
  <c r="Y9" i="1"/>
  <c r="Z9" i="1" s="1"/>
  <c r="Y14" i="1"/>
  <c r="Z14" i="1" s="1"/>
  <c r="Y34" i="1"/>
  <c r="Z34" i="1" s="1"/>
  <c r="Y43" i="1"/>
  <c r="Z43" i="1" s="1"/>
  <c r="Y59" i="1"/>
  <c r="Z59" i="1" s="1"/>
  <c r="Y60" i="1"/>
  <c r="Z60" i="1" s="1"/>
  <c r="Y61" i="1"/>
  <c r="Z61" i="1" s="1"/>
  <c r="Y62" i="1"/>
  <c r="Z62" i="1" s="1"/>
  <c r="X7" i="1"/>
  <c r="X13" i="1"/>
  <c r="X65" i="1"/>
  <c r="X35" i="1"/>
  <c r="X9" i="1"/>
  <c r="X14" i="1"/>
  <c r="X34" i="1"/>
  <c r="X59" i="1"/>
  <c r="X60" i="1"/>
  <c r="X61" i="1"/>
  <c r="X62" i="1"/>
  <c r="V7" i="1"/>
  <c r="V13" i="1"/>
  <c r="V37" i="1"/>
  <c r="V35" i="1"/>
  <c r="V9" i="1"/>
  <c r="V34" i="1"/>
  <c r="V59" i="1"/>
  <c r="V60" i="1"/>
  <c r="V61" i="1"/>
  <c r="V62" i="1"/>
  <c r="T7" i="1"/>
  <c r="T13" i="1"/>
  <c r="T37" i="1"/>
  <c r="T35" i="1"/>
  <c r="T9" i="1"/>
  <c r="T34" i="1"/>
  <c r="T59" i="1"/>
  <c r="T60" i="1"/>
  <c r="T61" i="1"/>
  <c r="T62" i="1"/>
  <c r="R13" i="1"/>
  <c r="R65" i="1"/>
  <c r="R37" i="1"/>
  <c r="R35" i="1"/>
  <c r="R9" i="1"/>
  <c r="R14" i="1"/>
  <c r="R34" i="1"/>
  <c r="R59" i="1"/>
  <c r="R60" i="1"/>
  <c r="R61" i="1"/>
  <c r="R62" i="1"/>
  <c r="F38" i="1" l="1"/>
  <c r="AF38" i="1" l="1"/>
  <c r="AH38" i="1" s="1"/>
  <c r="F64" i="1"/>
  <c r="Y32" i="1"/>
  <c r="Z32" i="1" s="1"/>
  <c r="X32" i="1"/>
  <c r="V32" i="1"/>
  <c r="T32" i="1"/>
  <c r="R32" i="1"/>
  <c r="Y67" i="1"/>
  <c r="X67" i="1"/>
  <c r="V67" i="1"/>
  <c r="T67" i="1"/>
  <c r="R67" i="1"/>
  <c r="L67" i="1"/>
  <c r="Y12" i="1"/>
  <c r="Z12" i="1" s="1"/>
  <c r="X12" i="1"/>
  <c r="V12" i="1"/>
  <c r="T12" i="1"/>
  <c r="R12" i="1"/>
  <c r="L12" i="1"/>
  <c r="Y24" i="1"/>
  <c r="X24" i="1"/>
  <c r="V24" i="1"/>
  <c r="T24" i="1"/>
  <c r="R24" i="1"/>
  <c r="X29" i="1"/>
  <c r="V29" i="1"/>
  <c r="T29" i="1"/>
  <c r="R29" i="1"/>
  <c r="L29" i="1"/>
  <c r="Y6" i="1"/>
  <c r="Z6" i="1" s="1"/>
  <c r="X6" i="1"/>
  <c r="V6" i="1"/>
  <c r="T6" i="1"/>
  <c r="R6" i="1"/>
  <c r="L6" i="1"/>
  <c r="Y64" i="1"/>
  <c r="Z64" i="1" s="1"/>
  <c r="X64" i="1"/>
  <c r="T64" i="1"/>
  <c r="R64" i="1"/>
  <c r="L64" i="1"/>
  <c r="AF64" i="1" l="1"/>
  <c r="AH64" i="1" s="1"/>
  <c r="F66" i="1"/>
  <c r="AF66" i="1" s="1"/>
  <c r="AH66" i="1" l="1"/>
  <c r="R38" i="1"/>
  <c r="Y66" i="1"/>
  <c r="Z66" i="1" s="1"/>
  <c r="X66" i="1"/>
  <c r="V66" i="1"/>
  <c r="T66" i="1"/>
  <c r="R66" i="1"/>
  <c r="L66" i="1"/>
  <c r="Y69" i="1"/>
  <c r="Z69" i="1" s="1"/>
  <c r="X69" i="1"/>
  <c r="V69" i="1"/>
  <c r="T69" i="1"/>
  <c r="R69" i="1"/>
  <c r="L69" i="1"/>
  <c r="Y68" i="1" l="1"/>
  <c r="Z68" i="1" s="1"/>
  <c r="Y42" i="1"/>
  <c r="Z42" i="1" s="1"/>
  <c r="Y4" i="1"/>
  <c r="Z4" i="1" s="1"/>
  <c r="Y3" i="1"/>
  <c r="Z3" i="1" s="1"/>
  <c r="Y8" i="1"/>
  <c r="Z8" i="1" s="1"/>
  <c r="Y28" i="1"/>
  <c r="Z28" i="1" s="1"/>
  <c r="Y33" i="1"/>
  <c r="Z33" i="1" s="1"/>
  <c r="Y27" i="1"/>
  <c r="Y23" i="1"/>
  <c r="X2" i="1"/>
  <c r="X68" i="1"/>
  <c r="X4" i="1"/>
  <c r="X3" i="1"/>
  <c r="X8" i="1"/>
  <c r="X28" i="1"/>
  <c r="X33" i="1"/>
  <c r="X23" i="1"/>
  <c r="V2" i="1"/>
  <c r="V68" i="1"/>
  <c r="V4" i="1"/>
  <c r="V3" i="1"/>
  <c r="V8" i="1"/>
  <c r="V28" i="1"/>
  <c r="V5" i="1"/>
  <c r="V33" i="1"/>
  <c r="V27" i="1"/>
  <c r="V23" i="1"/>
  <c r="T2" i="1"/>
  <c r="T68" i="1"/>
  <c r="T4" i="1"/>
  <c r="T3" i="1"/>
  <c r="T28" i="1"/>
  <c r="T33" i="1"/>
  <c r="T27" i="1"/>
  <c r="T23" i="1"/>
  <c r="R2" i="1"/>
  <c r="R68" i="1"/>
  <c r="R4" i="1"/>
  <c r="R3" i="1"/>
  <c r="R8" i="1"/>
  <c r="R28" i="1"/>
  <c r="R33" i="1"/>
  <c r="R27" i="1"/>
  <c r="R23" i="1"/>
  <c r="R7" i="1"/>
  <c r="Z65" i="1" l="1"/>
  <c r="L2" i="1"/>
  <c r="L68" i="1"/>
  <c r="L4" i="1"/>
  <c r="L8" i="1"/>
  <c r="L5" i="1"/>
  <c r="L27" i="1"/>
  <c r="L23" i="1"/>
  <c r="L7" i="1"/>
  <c r="L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A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OJOOOO</t>
        </r>
      </text>
    </comment>
    <comment ref="AA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OJOOO RENDIMIENTO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2F97BA6A-9239-427B-A030-36DC0F53F251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<sst xmlns="http://schemas.openxmlformats.org/spreadsheetml/2006/main" count="679" uniqueCount="313">
  <si>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</si>
  <si>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</si>
  <si>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</si>
  <si>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</si>
  <si>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</si>
  <si>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</si>
  <si>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</si>
  <si>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</si>
  <si>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</si>
  <si>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</si>
  <si>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</si>
  <si>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</si>
  <si>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</si>
  <si>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</si>
  <si>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 xml:space="preserve">FECHA URDIDO </t>
  </si>
  <si>
    <t>DIAS</t>
  </si>
  <si>
    <t>FIN PRODUCCION</t>
  </si>
  <si>
    <t>FECHA FIN ENVOLTURA</t>
  </si>
  <si>
    <t>FECHA DE FACTURACION</t>
  </si>
  <si>
    <t xml:space="preserve">EFICIENCIA DE ENTREGA </t>
  </si>
  <si>
    <t>ESTADO</t>
  </si>
  <si>
    <t xml:space="preserve">CLIENTE </t>
  </si>
  <si>
    <t>MTS X HORA</t>
  </si>
  <si>
    <t>OBSERVACIONES</t>
  </si>
  <si>
    <t>CALIBRACION MES DE JULIO</t>
  </si>
  <si>
    <t>N</t>
  </si>
  <si>
    <t>NOMBRE</t>
  </si>
  <si>
    <t>NUMERO DE VECES</t>
  </si>
  <si>
    <t xml:space="preserve">ARTICULO </t>
  </si>
  <si>
    <t xml:space="preserve">OBSERVACIONES </t>
  </si>
  <si>
    <t>CARLOS</t>
  </si>
  <si>
    <t>OSCAR</t>
  </si>
  <si>
    <t>JOSE</t>
  </si>
  <si>
    <t>JAVIER</t>
  </si>
  <si>
    <t>JESSICA</t>
  </si>
  <si>
    <t xml:space="preserve">AMPARO </t>
  </si>
  <si>
    <t>EVELYN</t>
  </si>
  <si>
    <t>ALEXANDER</t>
  </si>
  <si>
    <t>EFICIENCIA ENTREGA</t>
  </si>
  <si>
    <t xml:space="preserve">ORDENES PARA STOCK </t>
  </si>
  <si>
    <t>KY#9</t>
  </si>
  <si>
    <t>ELASTICO</t>
  </si>
  <si>
    <t xml:space="preserve">ACABADOS </t>
  </si>
  <si>
    <t xml:space="preserve">ORDENES DE PRODUCCION AGOSTO </t>
  </si>
  <si>
    <t>KY#11</t>
  </si>
  <si>
    <t>OP18 JUL</t>
  </si>
  <si>
    <t>KY#7</t>
  </si>
  <si>
    <t>OP32 JUL</t>
  </si>
  <si>
    <t>OP28 JUL</t>
  </si>
  <si>
    <t>KY#8</t>
  </si>
  <si>
    <t>OP23 JUN</t>
  </si>
  <si>
    <t xml:space="preserve">OP12 MAY </t>
  </si>
  <si>
    <t>KY#20</t>
  </si>
  <si>
    <t>OP36 JUL</t>
  </si>
  <si>
    <t>KY#18</t>
  </si>
  <si>
    <t>REATA</t>
  </si>
  <si>
    <t>TEJEDURIA</t>
  </si>
  <si>
    <t xml:space="preserve">NUNEZ SANTIAGO </t>
  </si>
  <si>
    <t xml:space="preserve">CINTA DE SOMBRERO CANELA / MIEL 32 MM </t>
  </si>
  <si>
    <t>CINTA</t>
  </si>
  <si>
    <t xml:space="preserve">CLAUDIO </t>
  </si>
  <si>
    <t xml:space="preserve">TEJEDURIA </t>
  </si>
  <si>
    <t xml:space="preserve">SR BELTRAN </t>
  </si>
  <si>
    <t xml:space="preserve">ELASTICO ZAPATO REFORZADO 100 MM </t>
  </si>
  <si>
    <t xml:space="preserve">ELASTICO </t>
  </si>
  <si>
    <t>ACHUPATIN</t>
  </si>
  <si>
    <t xml:space="preserve">OP09 JUL </t>
  </si>
  <si>
    <t xml:space="preserve">REATA SANDAIA TUBULAR LUREX 25MM </t>
  </si>
  <si>
    <t>IMPORTIZ</t>
  </si>
  <si>
    <t xml:space="preserve">ELASTICO CONFECCION REFORZADO PES 50MM FUCSIA / AMARILLO </t>
  </si>
  <si>
    <t>TIRAS</t>
  </si>
  <si>
    <t>KY#5</t>
  </si>
  <si>
    <t xml:space="preserve">REATA CONFECCION ZARGA COLCHON </t>
  </si>
  <si>
    <t>SICORMATRESS</t>
  </si>
  <si>
    <t>OP40 JUL</t>
  </si>
  <si>
    <t>OP42 JUL</t>
  </si>
  <si>
    <t xml:space="preserve">ELASTICO ZAPATO PES 8MM </t>
  </si>
  <si>
    <t>JAQ#4</t>
  </si>
  <si>
    <t>OP38 JUL</t>
  </si>
  <si>
    <t>ELASTICO CONFECCION FAJAS MEDICAS 25MM</t>
  </si>
  <si>
    <t>JAQ#13</t>
  </si>
  <si>
    <t xml:space="preserve">BUENANO + STOCK </t>
  </si>
  <si>
    <t xml:space="preserve">REATA SANDALIA EMPALMADA FRANJA CENTRAL LUREX 20MM </t>
  </si>
  <si>
    <t>GAMBOA</t>
  </si>
  <si>
    <t xml:space="preserve">OP41 JUL </t>
  </si>
  <si>
    <t xml:space="preserve">ELASTICO ZAPATO REFORZADO 50MM </t>
  </si>
  <si>
    <t>PAISA</t>
  </si>
  <si>
    <t xml:space="preserve">OP06 JUL </t>
  </si>
  <si>
    <t xml:space="preserve">REATA SANDALIA EMPALMADA GRUESA 2 CANALES 30MM </t>
  </si>
  <si>
    <t>KY15</t>
  </si>
  <si>
    <t xml:space="preserve">IMPORTIZ </t>
  </si>
  <si>
    <t xml:space="preserve">ELASTICO CONFECCION SESGO 11MM BLANCO </t>
  </si>
  <si>
    <t>CORDON TELAR TUBULAR STRETCH 5,5MM</t>
  </si>
  <si>
    <t>CORDON</t>
  </si>
  <si>
    <t xml:space="preserve">EFICIENCIA DE MAQUINA </t>
  </si>
  <si>
    <t xml:space="preserve">TOTAL </t>
  </si>
  <si>
    <t>TOTAL</t>
  </si>
  <si>
    <t xml:space="preserve">VERDE </t>
  </si>
  <si>
    <t xml:space="preserve">EFICIENTE </t>
  </si>
  <si>
    <t>NO EFICIENTE</t>
  </si>
  <si>
    <t>ANARANJADO</t>
  </si>
  <si>
    <t>ROJO</t>
  </si>
  <si>
    <t>OP43 MAR</t>
  </si>
  <si>
    <t xml:space="preserve">ELASTICO CONFECCION BOXER BOSTON </t>
  </si>
  <si>
    <t>JAQ#2</t>
  </si>
  <si>
    <t xml:space="preserve">BOSTON </t>
  </si>
  <si>
    <t>JAQ#18</t>
  </si>
  <si>
    <t>OP61 JUN</t>
  </si>
  <si>
    <t xml:space="preserve">ELASTICO CONFECCION BOXER NEGRO /GRIS PERLA </t>
  </si>
  <si>
    <t>JAQ#7</t>
  </si>
  <si>
    <t>OP05 06 AGOS</t>
  </si>
  <si>
    <t>REATA MOCHILA DELGADA 10 15 MM</t>
  </si>
  <si>
    <t>JAQ10</t>
  </si>
  <si>
    <t>OP63 JUN</t>
  </si>
  <si>
    <t>ELASTICO BOSTON NEGRO/GRIS PERLA</t>
  </si>
  <si>
    <t>JAQ#19</t>
  </si>
  <si>
    <t>OP07 AGOS</t>
  </si>
  <si>
    <t>REATA CONFECCION EMPLAMDA GRUESA 15MM  PATUCA</t>
  </si>
  <si>
    <t>OP09 AGOS</t>
  </si>
  <si>
    <t xml:space="preserve">REATA CONFECCION VIVO NYLON 10MM </t>
  </si>
  <si>
    <t>KY#6</t>
  </si>
  <si>
    <t>OP01 JUL</t>
  </si>
  <si>
    <t xml:space="preserve">REATA ZAPATO TAFET DELGADA 15MM </t>
  </si>
  <si>
    <t>OP13 14 AGOS</t>
  </si>
  <si>
    <t>KY#17</t>
  </si>
  <si>
    <t>-</t>
  </si>
  <si>
    <t xml:space="preserve">OP39 JUL </t>
  </si>
  <si>
    <t xml:space="preserve">REATA CONFECCION EMPALMADA 20MM </t>
  </si>
  <si>
    <t>KY#2</t>
  </si>
  <si>
    <t xml:space="preserve">TERMINADO </t>
  </si>
  <si>
    <t xml:space="preserve">OP24 JUL </t>
  </si>
  <si>
    <t>REATA ZAPATO TAFETA GRUESA REFLECTIVO 12MM</t>
  </si>
  <si>
    <t>JAQ#5</t>
  </si>
  <si>
    <t xml:space="preserve">ELASTICO BOSTON VERDE BOTELLA/GRIS PERLA </t>
  </si>
  <si>
    <t>JAQ#8</t>
  </si>
  <si>
    <t xml:space="preserve">ELASTICO CONFECCION CROCHET 20 25 MM </t>
  </si>
  <si>
    <t>KY10</t>
  </si>
  <si>
    <t xml:space="preserve">OP15-01 JUL </t>
  </si>
  <si>
    <t>OP20 AGOS</t>
  </si>
  <si>
    <t>OP01 AGOS</t>
  </si>
  <si>
    <t xml:space="preserve">ELASTICO ZAPATO REFORZADO 60MM </t>
  </si>
  <si>
    <t>KY#13</t>
  </si>
  <si>
    <t xml:space="preserve">SANCHEZ MARIBEL +STOCK </t>
  </si>
  <si>
    <t>OP23 AGOS</t>
  </si>
  <si>
    <t>OP08 AGOS</t>
  </si>
  <si>
    <t xml:space="preserve">REATA CONFECCION EMPALMADA 10MM </t>
  </si>
  <si>
    <t>OP10 JUL</t>
  </si>
  <si>
    <t xml:space="preserve">REATA SANDALIA TUBULAR LUREX 25MM </t>
  </si>
  <si>
    <t>ALFONZO/MONTESINOS</t>
  </si>
  <si>
    <t>OP24 JUN</t>
  </si>
  <si>
    <t>KY#12</t>
  </si>
  <si>
    <t>ELASTICO BOSTON AZUL MARINO/PLOMO AZULADO</t>
  </si>
  <si>
    <t>JAQ#9</t>
  </si>
  <si>
    <t>HORARIO 10/24H</t>
  </si>
  <si>
    <t>FECHA REAL FINAL PRODUCCION</t>
  </si>
  <si>
    <t>INICIO PRODUCCION EN MAQUINA</t>
  </si>
  <si>
    <t xml:space="preserve">DIAS REALES DE PRODUCCION </t>
  </si>
  <si>
    <t xml:space="preserve">DIAS ESTANDAR DE PRODUCCION </t>
  </si>
  <si>
    <t>OP03 04 AGOS</t>
  </si>
  <si>
    <t xml:space="preserve">FANDINGO JENNIFER +STOCK </t>
  </si>
  <si>
    <t>OP37 AGOS</t>
  </si>
  <si>
    <t xml:space="preserve">OP08 JUL </t>
  </si>
  <si>
    <t xml:space="preserve">REATA SANDALIA TUBULAR GRUES 2 CANALES 30MM </t>
  </si>
  <si>
    <t>OP02 AGOS</t>
  </si>
  <si>
    <t xml:space="preserve">REATA MOCHILA GRUES TUBULAR OJAL 10MM </t>
  </si>
  <si>
    <t xml:space="preserve">GUTIERREZ+STOCK </t>
  </si>
  <si>
    <t xml:space="preserve">OP29 JUN </t>
  </si>
  <si>
    <t xml:space="preserve">REATA SANDALIA TUBULAR 25MM </t>
  </si>
  <si>
    <t xml:space="preserve">OP30 AGOS </t>
  </si>
  <si>
    <t xml:space="preserve">REATA SANDALIA TUBULAR 35MM </t>
  </si>
  <si>
    <t>JAQ#6</t>
  </si>
  <si>
    <t>ALFONZO ZAMBRANO</t>
  </si>
  <si>
    <t xml:space="preserve">OP54 JUN </t>
  </si>
  <si>
    <t xml:space="preserve">OP33 AGOS </t>
  </si>
  <si>
    <t>ELASTICO BOSTON AZUL ACERO /TURQUEZA</t>
  </si>
  <si>
    <t>OP12  11 AGOS</t>
  </si>
  <si>
    <t xml:space="preserve">REATA ZAPATO TAFETA DELAGADA 10 15MM </t>
  </si>
  <si>
    <t>CORDON TELAR TUBULAR PLANO POLIESTER 14MM</t>
  </si>
  <si>
    <t>GUAMAN DANILO+STOCK</t>
  </si>
  <si>
    <t xml:space="preserve">OP24 AGOS </t>
  </si>
  <si>
    <t>JAQ13</t>
  </si>
  <si>
    <t xml:space="preserve">OP21 22 AGOS </t>
  </si>
  <si>
    <t xml:space="preserve">OP41 AGOS </t>
  </si>
  <si>
    <t>ROSA ELVIA</t>
  </si>
  <si>
    <t>OP43 AGOS</t>
  </si>
  <si>
    <t xml:space="preserve">ELASTICO BOSTON  NEGRO/VERDE FLOURECENTE </t>
  </si>
  <si>
    <t>OP42 AGOS</t>
  </si>
  <si>
    <t xml:space="preserve">OP32 AGOS </t>
  </si>
  <si>
    <t xml:space="preserve">ELASTICO BOSTON ACERO/COBALTO </t>
  </si>
  <si>
    <t>JAQ17</t>
  </si>
  <si>
    <t>OP17-01JUN</t>
  </si>
  <si>
    <t>REATA SANDALIA TUBULAR DE 25MM</t>
  </si>
  <si>
    <t>OP19 AGOS</t>
  </si>
  <si>
    <t xml:space="preserve">CORDON PLANO </t>
  </si>
  <si>
    <t>KY#4</t>
  </si>
  <si>
    <t>KY#19</t>
  </si>
  <si>
    <t xml:space="preserve">OP38 AGOS </t>
  </si>
  <si>
    <t xml:space="preserve">ELASTICO CONFECCION SESGO DE 11 MM </t>
  </si>
  <si>
    <t>OP52 AGOS</t>
  </si>
  <si>
    <t xml:space="preserve">IVAN ALFONSO </t>
  </si>
  <si>
    <t xml:space="preserve">OP34 AGOS </t>
  </si>
  <si>
    <t>JAQ#11</t>
  </si>
  <si>
    <t>KY#15</t>
  </si>
  <si>
    <t xml:space="preserve">REATA SANDALIA GRUESA 15MM </t>
  </si>
  <si>
    <t xml:space="preserve">BURI VICTOR </t>
  </si>
  <si>
    <t xml:space="preserve">OP45 AGO </t>
  </si>
  <si>
    <t xml:space="preserve">REATA SANDALIA TUBULAR GRUESA 2 CANALES 30MM </t>
  </si>
  <si>
    <t>OP46 AGOS</t>
  </si>
  <si>
    <t>JAQ#3</t>
  </si>
  <si>
    <t>JAQ#10</t>
  </si>
  <si>
    <t xml:space="preserve">OP31 AGOS </t>
  </si>
  <si>
    <t xml:space="preserve">ELASTICO BOSTON AZUL ACERO /COBALTO </t>
  </si>
  <si>
    <t xml:space="preserve">PARADA HACIENDO MANTENIMIENTO SIGUE STOCK </t>
  </si>
  <si>
    <t>EN ESPERA SE TIENE QUE CAMBIAR LAS MEDIDAS</t>
  </si>
  <si>
    <t xml:space="preserve">SE QUEDO PARADA POR LA TRAMA </t>
  </si>
  <si>
    <t xml:space="preserve">ORDENES TOTALES </t>
  </si>
  <si>
    <t xml:space="preserve">CONTROL DE PRODUCCION MES DE AGOSTO </t>
  </si>
  <si>
    <t>ORDENES TERMINADAS</t>
  </si>
  <si>
    <t xml:space="preserve">ORDENES EN TEJEDURIA </t>
  </si>
  <si>
    <t xml:space="preserve">NO EFICIENTES </t>
  </si>
  <si>
    <t xml:space="preserve">EFICIENTES </t>
  </si>
  <si>
    <t xml:space="preserve">TIEMPO DE ENTREGA </t>
  </si>
  <si>
    <t>OP21 22-01 AGOS</t>
  </si>
  <si>
    <t>CORDON TELAR TUBULAR PLANO POLIESTER 10 14MM</t>
  </si>
  <si>
    <t>DANILO GUAMAN+STOCK</t>
  </si>
  <si>
    <t xml:space="preserve">SE QUEDO 1 DIA PARADA POR MOTIVO DE CARRETO SE VOLVIO A URDIR SE HACIA MOTA COLOR AZUL MARINO </t>
  </si>
  <si>
    <t xml:space="preserve">MAQUINA SE QUEDA PARADA 2 SEMANAS POR QUE NO HABIA TRAMA COLOR PISTACHO </t>
  </si>
  <si>
    <t xml:space="preserve">RETRASO EN EL URDIDO Y CALIBRACION TIEMPO MUERTO EN CALIBRACION 2 DIAS DESPUES DE MONTAR MAQUIINA </t>
  </si>
  <si>
    <t xml:space="preserve">DEMORA EN EL URDIDO URDIDOS EN FILA Y MAQUINA CON CARGA DE TRABAJO </t>
  </si>
  <si>
    <t xml:space="preserve">SE MANDA UN PARCIL AL CLIENTE Y SE PLANCHA DESPUES </t>
  </si>
  <si>
    <t xml:space="preserve">RETRASO EN EL URDIDO  Y SE PARA MAQUINA CADA RATO EL ALMA SE ENREDBA </t>
  </si>
  <si>
    <t>MAQUINA CON CARGA DE TRABAJO</t>
  </si>
  <si>
    <t xml:space="preserve">SE DEMORAN EN EL URDIDO POR MOTIVO QUE NO HABIA MATERIAL </t>
  </si>
  <si>
    <t xml:space="preserve">URDIDORA CON CARGA DE TRABAJO </t>
  </si>
  <si>
    <t xml:space="preserve">ORDENES NO EFICIENTES </t>
  </si>
  <si>
    <t xml:space="preserve">#DIAS DE ENTREGA </t>
  </si>
  <si>
    <t xml:space="preserve">SE MANDO UN PARCIAL AL CLIENTE Y SE PLANCHA DESPUES </t>
  </si>
  <si>
    <t xml:space="preserve">MAQUINA CON CARGA DE TRABAJO </t>
  </si>
  <si>
    <t xml:space="preserve">NO HABIA MATERIAL PARA TRAMA COLOR PISTACHO MAQUINA SE QUEDA PARADA </t>
  </si>
  <si>
    <t>URDIDORA CON CARGA DE TRABAJO Y CALIBRACION</t>
  </si>
  <si>
    <t xml:space="preserve">URDIDORA CON CARGA DE TRABAJO Y TRAMA SE ENRIEDA SE PARA CADA RATO </t>
  </si>
  <si>
    <t xml:space="preserve">URDIDORA CON CARGA DE TRABAJO Y NO HABIA MATERIAL </t>
  </si>
  <si>
    <t xml:space="preserve">REATAS </t>
  </si>
  <si>
    <t xml:space="preserve">2 CORDON, 2 ELASTICOS, 7 REATAS </t>
  </si>
  <si>
    <t>4 ELASTICOS, 3 REATAS, 1 CORDON</t>
  </si>
  <si>
    <t xml:space="preserve">4 REATAS, 10 ELASTICOS </t>
  </si>
  <si>
    <t xml:space="preserve">1 REATA, 1 ELASTICO </t>
  </si>
  <si>
    <t xml:space="preserve">ELASTICO CONFECCION REFORZADO PES 50MM </t>
  </si>
  <si>
    <t>REATA SANDALIA EMPALMADA GRUESA 2 CANALES</t>
  </si>
  <si>
    <t xml:space="preserve">CAUSAS NO EFICIENTES </t>
  </si>
  <si>
    <t>CARGO DE TRABAJO EN URDIDORA</t>
  </si>
  <si>
    <t xml:space="preserve">DEMORA EN EL PLANCHADO </t>
  </si>
  <si>
    <t xml:space="preserve">FALTA DE MATERIA PRIMA </t>
  </si>
  <si>
    <t>#</t>
  </si>
  <si>
    <t xml:space="preserve">CLIENTES </t>
  </si>
  <si>
    <t xml:space="preserve">DIAS DE DEMORA </t>
  </si>
  <si>
    <t>CAUSA</t>
  </si>
  <si>
    <t xml:space="preserve">BUEANO </t>
  </si>
  <si>
    <t>SICORMATRES</t>
  </si>
  <si>
    <t>DIAS ESTANDARES</t>
  </si>
  <si>
    <t xml:space="preserve">DIAS REALES </t>
  </si>
  <si>
    <t xml:space="preserve">#ORDEN </t>
  </si>
  <si>
    <t xml:space="preserve">DIAS TOTAL DE ENTREGA </t>
  </si>
  <si>
    <t>OP10 27-01 JUL</t>
  </si>
  <si>
    <t xml:space="preserve">ORDEN </t>
  </si>
  <si>
    <t xml:space="preserve">JAVIER </t>
  </si>
  <si>
    <t xml:space="preserve">OSCAR </t>
  </si>
  <si>
    <t xml:space="preserve">ANUDANDO CAUCHO </t>
  </si>
  <si>
    <t>DIAS ENVOLTURA</t>
  </si>
  <si>
    <t xml:space="preserve">DIAS DE ENTREGA FINAL </t>
  </si>
  <si>
    <t xml:space="preserve">SE MANDA A REBOBINAR EL COLOR AZUL MARINO </t>
  </si>
  <si>
    <t xml:space="preserve">UNA ORDEN ANTERIOR A ESTA SE QUEDO PARADA PARA CONFIRMAR EL ALMA Y CAUSA QUE ESTA SE RETRASARA MAS Y SE DEMORAN EN URDIR </t>
  </si>
  <si>
    <t xml:space="preserve">UNA ORDEN ANTERIOR SEGUIA EN MAQUINA POR LO QUE NO ENTRO A TEJEDURIA RAPIDAMENTE Y URDIDOS EN FILA </t>
  </si>
  <si>
    <t xml:space="preserve">ENTREGA URDIDO </t>
  </si>
  <si>
    <t xml:space="preserve">FECHA DE APROBACION DE PEDIDO </t>
  </si>
  <si>
    <t xml:space="preserve">FECHA TERMINA TEJEDURIA </t>
  </si>
  <si>
    <t xml:space="preserve">DIAS TERMINA TEJEDURIA </t>
  </si>
  <si>
    <t xml:space="preserve">FECHAS DE PROCESO DE CADA AREA </t>
  </si>
  <si>
    <t xml:space="preserve">DE MI FECHA DE APROBACION A MI FECHA DE URDIDO ME DEMORE 17 DIAS </t>
  </si>
  <si>
    <t xml:space="preserve">DE MI FECHA DE URDIDO A MI FECHA DE TEJEDURIA ME DEMORE 6 DIAS INCLUYE CALIBRACION Y MONTAJE </t>
  </si>
  <si>
    <t>DE MI FECHA DE APROBACION  A MI FECHA DE FACTURACION SON 27 DIAS</t>
  </si>
  <si>
    <t>DE MI FECHA DE TEJEDURIA A MI FECHA DE ENVOLTURA SON 3 DIAS</t>
  </si>
  <si>
    <t xml:space="preserve">UNA ORDEN ANTERIOR SALIO MENOS POR EL RENDIMIENTO SE VUELVE HACER ORDEN PARA COMPLETAR </t>
  </si>
  <si>
    <t xml:space="preserve">MAQUINA CON ORDENES ANTERIORES EN ESPERA QUE SE TERMINE RETRASA ESTA ORDEN </t>
  </si>
  <si>
    <t>RETRASO EN EL URDIDO SE ESTABAN URDIENDO MAS ORDENES DE IMPORTIS</t>
  </si>
  <si>
    <t xml:space="preserve">PROBLEMAS EN EL URDIDO CON EL LUREX TURQUEZA SE HACE MUCHAS MOTAS ROTO LOS FILAMENTO </t>
  </si>
  <si>
    <t xml:space="preserve">COMPARATIVO </t>
  </si>
  <si>
    <t xml:space="preserve">AGOSTO </t>
  </si>
  <si>
    <t>MEJORA</t>
  </si>
  <si>
    <t>Indicador</t>
  </si>
  <si>
    <t>Julio</t>
  </si>
  <si>
    <t>Agosto</t>
  </si>
  <si>
    <t>Tiempo de entrega</t>
  </si>
  <si>
    <t>Montaje</t>
  </si>
  <si>
    <t>Calibración</t>
  </si>
  <si>
    <t>327 TIRAS</t>
  </si>
  <si>
    <r>
      <rPr>
        <b/>
        <sz val="20"/>
        <color rgb="FF66FF33"/>
        <rFont val="Calibri"/>
        <family val="2"/>
        <scheme val="minor"/>
      </rPr>
      <t>🟢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+30%</t>
    </r>
  </si>
  <si>
    <t>EN EL TIEMPO DE ENTREGA HA MEJORADO UN 30%</t>
  </si>
  <si>
    <t>Mejora</t>
  </si>
  <si>
    <t xml:space="preserve">OP17 AGOS </t>
  </si>
  <si>
    <t>9 REATAS, 2 ELASTICOS, 2 CORDON</t>
  </si>
  <si>
    <t>317 TIRAS</t>
  </si>
  <si>
    <r>
      <rPr>
        <b/>
        <sz val="20"/>
        <color rgb="FFFF0000"/>
        <rFont val="Calibri"/>
        <family val="2"/>
        <scheme val="minor"/>
      </rPr>
      <t>🟢</t>
    </r>
    <r>
      <rPr>
        <b/>
        <sz val="14"/>
        <color theme="1"/>
        <rFont val="Calibri"/>
        <family val="2"/>
        <scheme val="minor"/>
      </rPr>
      <t>-3.15%</t>
    </r>
  </si>
  <si>
    <r>
      <rPr>
        <b/>
        <sz val="20"/>
        <color rgb="FFFF0000"/>
        <rFont val="Calibri"/>
        <family val="2"/>
        <scheme val="minor"/>
      </rPr>
      <t>🟢</t>
    </r>
    <r>
      <rPr>
        <b/>
        <sz val="14"/>
        <color theme="1"/>
        <rFont val="Calibri"/>
        <family val="2"/>
        <scheme val="minor"/>
      </rPr>
      <t xml:space="preserve"> -1,85 %</t>
    </r>
  </si>
  <si>
    <t xml:space="preserve">NO EFICIENTE </t>
  </si>
  <si>
    <t>KY#16</t>
  </si>
  <si>
    <t>OP37 JUN</t>
  </si>
  <si>
    <t>CINTA DE RASO 2 LADOS 50MM</t>
  </si>
  <si>
    <t>JAQ#14</t>
  </si>
  <si>
    <t>POTILLA ROSERO</t>
  </si>
  <si>
    <t>CRUDO</t>
  </si>
  <si>
    <t xml:space="preserve">ESTA ORDEN SE QUEDO PARADA, SE MANDO A TINTURAR Y CORREJIR MEDIDAS </t>
  </si>
  <si>
    <t>OP17 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</si>
</sst>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0"/>
      <name val="Century Gothic"/>
      <family val="2"/>
    </font>
    <font>
      <b/>
      <sz val="9"/>
      <color theme="0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Calibri"/>
      <family val="2"/>
      <scheme val="minor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66FF33"/>
      <name val="Calibri"/>
      <family val="2"/>
      <scheme val="minor"/>
    </font>
    <font>
      <u/>
      <sz val="10"/>
      <color theme="10"/>
      <name val="Century Gothic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9" fontId="3" fillId="7" borderId="1" xfId="1" applyFont="1" applyFill="1" applyBorder="1" applyAlignment="1">
      <alignment horizontal="center" vertical="center" wrapText="1"/>
    </xf>
    <xf numFmtId="9" fontId="3" fillId="8" borderId="1" xfId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1" applyFont="1" applyBorder="1" applyAlignment="1">
      <alignment horizontal="center" vertical="center"/>
    </xf>
    <xf numFmtId="9" fontId="6" fillId="0" borderId="1" xfId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14" fontId="6" fillId="17" borderId="1" xfId="0" applyNumberFormat="1" applyFont="1" applyFill="1" applyBorder="1"/>
    <xf numFmtId="14" fontId="6" fillId="18" borderId="1" xfId="0" applyNumberFormat="1" applyFont="1" applyFill="1" applyBorder="1"/>
    <xf numFmtId="0" fontId="6" fillId="13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4" fillId="19" borderId="0" xfId="0" applyFont="1" applyFill="1" applyAlignment="1">
      <alignment vertical="center" wrapText="1"/>
    </xf>
    <xf numFmtId="0" fontId="4" fillId="19" borderId="0" xfId="0" applyFont="1" applyFill="1" applyAlignment="1">
      <alignment horizontal="left" vertical="center" wrapText="1"/>
    </xf>
    <xf numFmtId="0" fontId="6" fillId="13" borderId="0" xfId="0" applyFont="1" applyFill="1"/>
    <xf numFmtId="0" fontId="6" fillId="16" borderId="0" xfId="0" applyFont="1" applyFill="1"/>
    <xf numFmtId="0" fontId="6" fillId="17" borderId="0" xfId="0" applyFont="1" applyFill="1"/>
    <xf numFmtId="0" fontId="6" fillId="18" borderId="0" xfId="0" applyFont="1" applyFill="1"/>
    <xf numFmtId="14" fontId="6" fillId="13" borderId="1" xfId="0" applyNumberFormat="1" applyFont="1" applyFill="1" applyBorder="1"/>
    <xf numFmtId="14" fontId="6" fillId="16" borderId="1" xfId="0" applyNumberFormat="1" applyFont="1" applyFill="1" applyBorder="1"/>
    <xf numFmtId="0" fontId="7" fillId="0" borderId="1" xfId="2" applyBorder="1"/>
    <xf numFmtId="14" fontId="6" fillId="0" borderId="0" xfId="0" applyNumberFormat="1" applyFont="1"/>
    <xf numFmtId="0" fontId="4" fillId="0" borderId="1" xfId="0" applyFont="1" applyBorder="1"/>
    <xf numFmtId="0" fontId="4" fillId="10" borderId="1" xfId="0" applyFont="1" applyFill="1" applyBorder="1"/>
    <xf numFmtId="0" fontId="8" fillId="21" borderId="1" xfId="0" applyFont="1" applyFill="1" applyBorder="1"/>
    <xf numFmtId="0" fontId="4" fillId="20" borderId="1" xfId="0" applyFont="1" applyFill="1" applyBorder="1"/>
    <xf numFmtId="0" fontId="4" fillId="22" borderId="1" xfId="0" applyFont="1" applyFill="1" applyBorder="1"/>
    <xf numFmtId="0" fontId="4" fillId="21" borderId="1" xfId="0" applyFont="1" applyFill="1" applyBorder="1"/>
    <xf numFmtId="0" fontId="7" fillId="0" borderId="0" xfId="2" applyFill="1"/>
    <xf numFmtId="0" fontId="5" fillId="1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14" fontId="9" fillId="21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/>
    <xf numFmtId="0" fontId="4" fillId="19" borderId="0" xfId="0" applyFont="1" applyFill="1" applyAlignment="1">
      <alignment horizontal="center" vertical="center" wrapText="1"/>
    </xf>
    <xf numFmtId="14" fontId="6" fillId="13" borderId="0" xfId="0" applyNumberFormat="1" applyFont="1" applyFill="1"/>
    <xf numFmtId="1" fontId="6" fillId="0" borderId="1" xfId="0" applyNumberFormat="1" applyFont="1" applyBorder="1"/>
    <xf numFmtId="164" fontId="6" fillId="0" borderId="1" xfId="0" applyNumberFormat="1" applyFont="1" applyBorder="1"/>
    <xf numFmtId="14" fontId="6" fillId="16" borderId="0" xfId="0" applyNumberFormat="1" applyFont="1" applyFill="1"/>
    <xf numFmtId="14" fontId="6" fillId="17" borderId="0" xfId="0" applyNumberFormat="1" applyFont="1" applyFill="1"/>
    <xf numFmtId="14" fontId="6" fillId="18" borderId="0" xfId="0" applyNumberFormat="1" applyFont="1" applyFill="1"/>
    <xf numFmtId="0" fontId="2" fillId="0" borderId="0" xfId="0" applyFont="1"/>
    <xf numFmtId="0" fontId="7" fillId="0" borderId="1" xfId="2" applyFill="1" applyBorder="1"/>
    <xf numFmtId="0" fontId="0" fillId="0" borderId="0" xfId="0" applyBorder="1"/>
    <xf numFmtId="0" fontId="6" fillId="0" borderId="1" xfId="0" applyFont="1" applyBorder="1" applyAlignment="1">
      <alignment wrapText="1"/>
    </xf>
    <xf numFmtId="0" fontId="2" fillId="13" borderId="3" xfId="0" applyFont="1" applyFill="1" applyBorder="1" applyAlignment="1"/>
    <xf numFmtId="0" fontId="2" fillId="13" borderId="4" xfId="0" applyFont="1" applyFill="1" applyBorder="1" applyAlignment="1"/>
    <xf numFmtId="0" fontId="2" fillId="13" borderId="2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1" xfId="0" applyFont="1" applyBorder="1" applyAlignment="1">
      <alignment horizontal="left" wrapText="1"/>
    </xf>
    <xf numFmtId="0" fontId="0" fillId="16" borderId="13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7" xfId="2" applyFill="1" applyBorder="1" applyAlignment="1">
      <alignment wrapText="1"/>
    </xf>
    <xf numFmtId="0" fontId="7" fillId="0" borderId="17" xfId="2" applyBorder="1" applyAlignment="1">
      <alignment wrapText="1"/>
    </xf>
    <xf numFmtId="0" fontId="13" fillId="0" borderId="17" xfId="2" applyFont="1" applyFill="1" applyBorder="1" applyAlignment="1">
      <alignment wrapText="1"/>
    </xf>
    <xf numFmtId="16" fontId="14" fillId="0" borderId="17" xfId="0" applyNumberFormat="1" applyFont="1" applyFill="1" applyBorder="1" applyAlignment="1">
      <alignment wrapText="1"/>
    </xf>
    <xf numFmtId="0" fontId="0" fillId="0" borderId="1" xfId="0" applyFill="1" applyBorder="1"/>
    <xf numFmtId="0" fontId="0" fillId="0" borderId="1" xfId="0" applyBorder="1"/>
    <xf numFmtId="0" fontId="14" fillId="0" borderId="18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wrapText="1"/>
    </xf>
    <xf numFmtId="0" fontId="0" fillId="0" borderId="18" xfId="0" applyBorder="1" applyAlignment="1">
      <alignment horizontal="center" vertical="center"/>
    </xf>
    <xf numFmtId="0" fontId="2" fillId="24" borderId="18" xfId="0" applyFont="1" applyFill="1" applyBorder="1" applyAlignment="1">
      <alignment horizontal="center" wrapText="1"/>
    </xf>
    <xf numFmtId="0" fontId="2" fillId="24" borderId="19" xfId="0" applyFont="1" applyFill="1" applyBorder="1" applyAlignment="1">
      <alignment horizontal="center" wrapText="1"/>
    </xf>
    <xf numFmtId="16" fontId="7" fillId="0" borderId="1" xfId="2" applyNumberFormat="1" applyBorder="1"/>
    <xf numFmtId="12" fontId="0" fillId="0" borderId="1" xfId="0" applyNumberFormat="1" applyBorder="1" applyAlignment="1">
      <alignment horizontal="center" vertical="center"/>
    </xf>
    <xf numFmtId="0" fontId="7" fillId="0" borderId="1" xfId="2" applyFill="1" applyBorder="1" applyAlignment="1">
      <alignment horizontal="left" vertical="center"/>
    </xf>
    <xf numFmtId="0" fontId="7" fillId="0" borderId="1" xfId="2" applyBorder="1" applyAlignment="1">
      <alignment horizontal="left" vertical="center"/>
    </xf>
    <xf numFmtId="16" fontId="7" fillId="0" borderId="1" xfId="2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3" borderId="0" xfId="0" applyFill="1"/>
    <xf numFmtId="0" fontId="2" fillId="19" borderId="1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0" fontId="2" fillId="24" borderId="22" xfId="0" applyFont="1" applyFill="1" applyBorder="1" applyAlignment="1">
      <alignment horizontal="center" wrapText="1"/>
    </xf>
    <xf numFmtId="0" fontId="2" fillId="24" borderId="23" xfId="0" applyFont="1" applyFill="1" applyBorder="1" applyAlignment="1">
      <alignment horizontal="center" wrapText="1"/>
    </xf>
    <xf numFmtId="0" fontId="13" fillId="0" borderId="24" xfId="2" applyFont="1" applyFill="1" applyBorder="1" applyAlignment="1">
      <alignment wrapText="1"/>
    </xf>
    <xf numFmtId="0" fontId="13" fillId="0" borderId="24" xfId="2" applyFont="1" applyBorder="1" applyAlignment="1">
      <alignment wrapText="1"/>
    </xf>
    <xf numFmtId="16" fontId="14" fillId="0" borderId="24" xfId="0" applyNumberFormat="1" applyFont="1" applyFill="1" applyBorder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14" fontId="6" fillId="18" borderId="1" xfId="0" applyNumberFormat="1" applyFont="1" applyFill="1" applyBorder="1" applyAlignment="1">
      <alignment horizontal="center"/>
    </xf>
    <xf numFmtId="14" fontId="6" fillId="25" borderId="1" xfId="0" applyNumberFormat="1" applyFont="1" applyFill="1" applyBorder="1" applyAlignment="1">
      <alignment horizontal="left"/>
    </xf>
    <xf numFmtId="0" fontId="2" fillId="25" borderId="1" xfId="0" applyFont="1" applyFill="1" applyBorder="1" applyAlignment="1">
      <alignment horizontal="center" wrapText="1"/>
    </xf>
    <xf numFmtId="0" fontId="2" fillId="19" borderId="10" xfId="0" applyFont="1" applyFill="1" applyBorder="1"/>
    <xf numFmtId="0" fontId="2" fillId="19" borderId="11" xfId="0" applyFont="1" applyFill="1" applyBorder="1"/>
    <xf numFmtId="0" fontId="7" fillId="0" borderId="25" xfId="2" applyFill="1" applyBorder="1" applyAlignment="1">
      <alignment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wrapText="1"/>
    </xf>
    <xf numFmtId="0" fontId="0" fillId="0" borderId="19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7" fillId="0" borderId="0" xfId="2" applyFill="1" applyBorder="1"/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7" fillId="0" borderId="0" xfId="0" applyFont="1"/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0" fontId="17" fillId="0" borderId="0" xfId="1" applyNumberFormat="1" applyFont="1"/>
    <xf numFmtId="10" fontId="16" fillId="0" borderId="1" xfId="0" applyNumberFormat="1" applyFont="1" applyBorder="1" applyAlignment="1">
      <alignment vertical="center" wrapText="1"/>
    </xf>
    <xf numFmtId="0" fontId="20" fillId="0" borderId="1" xfId="2" applyFont="1" applyBorder="1"/>
    <xf numFmtId="14" fontId="6" fillId="13" borderId="3" xfId="0" applyNumberFormat="1" applyFont="1" applyFill="1" applyBorder="1"/>
    <xf numFmtId="0" fontId="0" fillId="13" borderId="1" xfId="0" applyFill="1" applyBorder="1" applyAlignment="1">
      <alignment horizontal="center" vertical="center"/>
    </xf>
    <xf numFmtId="14" fontId="6" fillId="16" borderId="2" xfId="0" applyNumberFormat="1" applyFont="1" applyFill="1" applyBorder="1"/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2" fontId="6" fillId="0" borderId="1" xfId="0" applyNumberFormat="1" applyFont="1" applyBorder="1" applyAlignment="1">
      <alignment horizontal="center" vertical="center"/>
    </xf>
    <xf numFmtId="0" fontId="0" fillId="0" borderId="0" xfId="0" applyFill="1"/>
    <xf numFmtId="9" fontId="6" fillId="0" borderId="0" xfId="1" applyFont="1" applyAlignment="1">
      <alignment horizontal="center"/>
    </xf>
    <xf numFmtId="0" fontId="4" fillId="13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17" borderId="28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29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5" fillId="0" borderId="18" xfId="0" applyFont="1" applyBorder="1" applyAlignment="1">
      <alignment wrapText="1"/>
    </xf>
    <xf numFmtId="0" fontId="0" fillId="0" borderId="18" xfId="0" applyBorder="1" applyAlignment="1">
      <alignment wrapText="1"/>
    </xf>
    <xf numFmtId="0" fontId="14" fillId="0" borderId="20" xfId="0" applyFont="1" applyFill="1" applyBorder="1" applyAlignment="1">
      <alignment horizontal="left" vertical="center" wrapText="1"/>
    </xf>
    <xf numFmtId="0" fontId="14" fillId="0" borderId="21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0" fillId="0" borderId="19" xfId="0" applyBorder="1" applyAlignment="1">
      <alignment wrapText="1"/>
    </xf>
    <xf numFmtId="0" fontId="0" fillId="0" borderId="1" xfId="0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214"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33"/>
      <color rgb="FFFF5757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DE ENTREGA</a:t>
            </a:r>
            <a:endParaRPr lang="es-EC"/>
          </a:p>
        </c:rich>
      </c:tx>
      <c:layout>
        <c:manualLayout>
          <c:xMode val="edge"/>
          <c:yMode val="edge"/>
          <c:x val="0.313980879796016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0855463698363657E-2"/>
          <c:y val="0.18803633000707873"/>
          <c:w val="0.64786703721973693"/>
          <c:h val="0.762875345374831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('DATOS GENERALES '!$AK$4,'DATOS GENERALES '!$AK$5)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'!$AL$4,'DATOS GENERALES '!$AL$5)</c:f>
              <c:numCache>
                <c:formatCode>General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6-4ADD-99C5-7B93CB2A8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DE MAQUINA 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('DATOS GENERALES '!$AT$5,'DATOS GENERALES '!$AT$4,'DATOS GENERALES '!$AT$31)</c:f>
            </c:multiLvlStrRef>
          </c:cat>
          <c:val>
            <c:numRef>
              <c:f>('DATOS GENERALES '!$AU$5,'DATOS GENERALES '!$AU$4,'DATOS GENERALES '!$AU$31)</c:f>
            </c:numRef>
          </c:val>
          <c:extLst>
            <c:ext xmlns:c16="http://schemas.microsoft.com/office/drawing/2014/chart" uri="{C3380CC4-5D6E-409C-BE32-E72D297353CC}">
              <c16:uniqueId val="{00000006-23C9-4A0F-86BF-B6D4156689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('DATOS GENERALES '!$AK$66,'DATOS GENERALES '!$AK$67)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'!$AL$66,'DATOS GENERALES '!$AL$67)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8-4607-9E5D-32BBF03403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DE ENTREGA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0855463698363657E-2"/>
          <c:y val="0.12899107506768476"/>
          <c:w val="0.66200887928999608"/>
          <c:h val="0.87100892493231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('DATOS GENERALES '!$AK$4,'DATOS GENERALES '!$AK$5)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'!$AL$4,'DATOS GENERALES '!$AL$5)</c:f>
              <c:numCache>
                <c:formatCode>General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0F-44DB-9C96-1F538D70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29259750460322"/>
          <c:y val="0.17459698552418237"/>
          <c:w val="0.30228322653286921"/>
          <c:h val="0.16433352081313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layout>
        <c:manualLayout>
          <c:xMode val="edge"/>
          <c:yMode val="edge"/>
          <c:x val="0.20285754022179386"/>
          <c:y val="2.7046057661662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6048421287630925E-2"/>
          <c:y val="0.24579811328238013"/>
          <c:w val="0.92763819511943713"/>
          <c:h val="0.6597159685376938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CALIBRACION!$B$3:$B$8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CALIBRACION!$C$3:$C$8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E-480F-8E52-6E7C2A24C3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84096"/>
        <c:axId val="-1440683552"/>
      </c:barChart>
      <c:catAx>
        <c:axId val="-14406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552"/>
        <c:crosses val="autoZero"/>
        <c:auto val="1"/>
        <c:lblAlgn val="ctr"/>
        <c:lblOffset val="100"/>
        <c:noMultiLvlLbl val="0"/>
      </c:catAx>
      <c:valAx>
        <c:axId val="-144068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CAUSAS</a:t>
            </a:r>
            <a:r>
              <a:rPr lang="es-EC" baseline="0"/>
              <a:t> NO EFICIENTES 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993563440394138"/>
          <c:y val="0.15315069856028726"/>
          <c:w val="0.68332601032774343"/>
          <c:h val="0.7717056666763122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'RESUMEN '!$AB$6:$AB$8</c:f>
              <c:strCache>
                <c:ptCount val="3"/>
                <c:pt idx="0">
                  <c:v>CARGO DE TRABAJO EN URDIDORA</c:v>
                </c:pt>
                <c:pt idx="1">
                  <c:v>DEMORA EN EL PLANCHADO </c:v>
                </c:pt>
                <c:pt idx="2">
                  <c:v>FALTA DE MATERIA PRIMA </c:v>
                </c:pt>
              </c:strCache>
            </c:strRef>
          </c:cat>
          <c:val>
            <c:numRef>
              <c:f>'RESUMEN '!$AC$6:$AC$8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0-4D2C-B25C-0AD6B9F92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574787120"/>
        <c:axId val="-1574793648"/>
      </c:barChart>
      <c:catAx>
        <c:axId val="-157478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74793648"/>
        <c:crosses val="autoZero"/>
        <c:auto val="1"/>
        <c:lblAlgn val="ctr"/>
        <c:lblOffset val="100"/>
        <c:noMultiLvlLbl val="0"/>
      </c:catAx>
      <c:valAx>
        <c:axId val="-15747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7478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8.7670680398076767E-2"/>
          <c:y val="0.18256366347104849"/>
          <c:w val="0.91232931960192321"/>
          <c:h val="0.6385867835564390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'!$B$1:$I$1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'!$B$57:$I$57</c:f>
              <c:numCache>
                <c:formatCode>General</c:formatCode>
                <c:ptCount val="8"/>
                <c:pt idx="0">
                  <c:v>99.5</c:v>
                </c:pt>
                <c:pt idx="1">
                  <c:v>99</c:v>
                </c:pt>
                <c:pt idx="2">
                  <c:v>54.5</c:v>
                </c:pt>
                <c:pt idx="3">
                  <c:v>37.5</c:v>
                </c:pt>
                <c:pt idx="4">
                  <c:v>14.5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A-400C-9B6E-F2DB98F92A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8.7670687624938681E-2"/>
          <c:y val="0.18690279007729563"/>
          <c:w val="0.91232931960192321"/>
          <c:h val="0.6385867835564390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'!$B$1:$I$1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'!$B$57:$I$57</c:f>
              <c:numCache>
                <c:formatCode>General</c:formatCode>
                <c:ptCount val="8"/>
                <c:pt idx="0">
                  <c:v>99.5</c:v>
                </c:pt>
                <c:pt idx="1">
                  <c:v>99</c:v>
                </c:pt>
                <c:pt idx="2">
                  <c:v>54.5</c:v>
                </c:pt>
                <c:pt idx="3">
                  <c:v>37.5</c:v>
                </c:pt>
                <c:pt idx="4">
                  <c:v>14.5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5-4EEF-8870-A36038DDDD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layout>
        <c:manualLayout>
          <c:xMode val="edge"/>
          <c:yMode val="edge"/>
          <c:x val="0.20285754022179386"/>
          <c:y val="2.7046057661662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6048421287630925E-2"/>
          <c:y val="0.24579811328238013"/>
          <c:w val="0.92763819511943713"/>
          <c:h val="0.6597159685376938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CALIBRACION!$B$3:$B$8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CALIBRACION!$C$3:$C$8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6-4D30-9A33-2E9BFD2C0D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84096"/>
        <c:axId val="-1440683552"/>
      </c:barChart>
      <c:catAx>
        <c:axId val="-14406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552"/>
        <c:crosses val="autoZero"/>
        <c:auto val="1"/>
        <c:lblAlgn val="ctr"/>
        <c:lblOffset val="100"/>
        <c:noMultiLvlLbl val="0"/>
      </c:catAx>
      <c:valAx>
        <c:axId val="-144068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 DE ENTREGA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0855463698363657E-2"/>
          <c:y val="0.12899107506768476"/>
          <c:w val="0.66200887928999608"/>
          <c:h val="0.87100892493231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('DATOS GENERALES '!$AK$4,'DATOS GENERALES '!$AK$5)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'!$AL$4,'DATOS GENERALES '!$AL$5)</c:f>
              <c:numCache>
                <c:formatCode>General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B8-4FFE-9658-EBE17AF20B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TIEMPO DE ENTREGA JULIO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F6-4677-ADFE-7578C20EE6C3}"/>
              </c:ext>
            </c:extLst>
          </c:dPt>
          <c:cat>
            <c:strRef>
              <c:f>(#REF!,#REF!)</c:f>
            </c:strRef>
          </c:cat>
          <c:val>
            <c:numRef>
              <c:f>(#REF!,#REF!)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F6-4677-ADFE-7578C20EE6C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#TIRAS JULIO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(#REF!,#REF!,#REF!,#REF!)</c:f>
            </c:strRef>
          </c:cat>
          <c:val>
            <c:numRef>
              <c:f>(#REF!,#REF!,#REF!,#REF!)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2C9-A75D-8CB576217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654992"/>
        <c:axId val="470656240"/>
      </c:barChart>
      <c:catAx>
        <c:axId val="4706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6240"/>
        <c:crosses val="autoZero"/>
        <c:auto val="1"/>
        <c:lblAlgn val="ctr"/>
        <c:lblOffset val="100"/>
        <c:noMultiLvlLbl val="0"/>
      </c:catAx>
      <c:valAx>
        <c:axId val="4706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 MES DE JULIO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4778342563678692"/>
          <c:y val="0.27631931707964974"/>
          <c:w val="0.72546439711208044"/>
          <c:h val="0.6289371264971882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(#REF!,#REF!,#REF!,#REF!,#REF!,#REF!)</c:f>
            </c:strRef>
          </c:cat>
          <c:val>
            <c:numRef>
              <c:f>(#REF!,#REF!,#REF!,#REF!,#REF!,#REF!)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72-40FD-B7B4-658312524F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04599360"/>
        <c:axId val="2004600448"/>
      </c:barChart>
      <c:catAx>
        <c:axId val="20045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04600448"/>
        <c:crosses val="autoZero"/>
        <c:auto val="1"/>
        <c:lblAlgn val="ctr"/>
        <c:lblOffset val="100"/>
        <c:noMultiLvlLbl val="0"/>
      </c:catAx>
      <c:valAx>
        <c:axId val="2004600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459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'!$B$1:$I$1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'!$B$57:$I$57</c:f>
              <c:numCache>
                <c:formatCode>General</c:formatCode>
                <c:ptCount val="8"/>
                <c:pt idx="0">
                  <c:v>99.5</c:v>
                </c:pt>
                <c:pt idx="1">
                  <c:v>99</c:v>
                </c:pt>
                <c:pt idx="2">
                  <c:v>54.5</c:v>
                </c:pt>
                <c:pt idx="3">
                  <c:v>37.5</c:v>
                </c:pt>
                <c:pt idx="4">
                  <c:v>14.5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F-4758-AA87-0C384DB58C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CALIBRACION!$B$3:$B$8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CALIBRACION!$C$3:$C$8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4-4A73-856A-D98CF839FD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77024"/>
        <c:axId val="-1440683008"/>
      </c:barChart>
      <c:catAx>
        <c:axId val="-14406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008"/>
        <c:crosses val="autoZero"/>
        <c:auto val="1"/>
        <c:lblAlgn val="ctr"/>
        <c:lblOffset val="100"/>
        <c:noMultiLvlLbl val="0"/>
      </c:catAx>
      <c:valAx>
        <c:axId val="-144068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570796</xdr:colOff>
      <xdr:row>7</xdr:row>
      <xdr:rowOff>46904</xdr:rowOff>
    </xdr:from>
    <xdr:to>
      <xdr:col>40</xdr:col>
      <xdr:colOff>369089</xdr:colOff>
      <xdr:row>32</xdr:row>
      <xdr:rowOff>146957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417419</xdr:colOff>
      <xdr:row>41</xdr:row>
      <xdr:rowOff>0</xdr:rowOff>
    </xdr:from>
    <xdr:to>
      <xdr:col>49</xdr:col>
      <xdr:colOff>254934</xdr:colOff>
      <xdr:row>62</xdr:row>
      <xdr:rowOff>75919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185058</xdr:colOff>
      <xdr:row>69</xdr:row>
      <xdr:rowOff>111579</xdr:rowOff>
    </xdr:from>
    <xdr:to>
      <xdr:col>40</xdr:col>
      <xdr:colOff>70758</xdr:colOff>
      <xdr:row>88</xdr:row>
      <xdr:rowOff>144236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652122</xdr:colOff>
      <xdr:row>5</xdr:row>
      <xdr:rowOff>159521</xdr:rowOff>
    </xdr:from>
    <xdr:to>
      <xdr:col>7</xdr:col>
      <xdr:colOff>451522</xdr:colOff>
      <xdr:row>23</xdr:row>
      <xdr:rowOff>35108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320079</xdr:colOff>
      <xdr:row>56</xdr:row>
      <xdr:rowOff>44587</xdr:rowOff>
    </xdr:from>
    <xdr:to>
      <xdr:col>13</xdr:col>
      <xdr:colOff>532423</xdr:colOff>
      <xdr:row>74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104407</xdr:colOff>
      <xdr:row>6</xdr:row>
      <xdr:rowOff>64590</xdr:rowOff>
    </xdr:from>
    <xdr:to>
      <xdr:col>13</xdr:col>
      <xdr:colOff>708268</xdr:colOff>
      <xdr:row>22</xdr:row>
      <xdr:rowOff>29766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615461</xdr:colOff>
      <xdr:row>56</xdr:row>
      <xdr:rowOff>58616</xdr:rowOff>
    </xdr:from>
    <xdr:to>
      <xdr:col>7</xdr:col>
      <xdr:colOff>190500</xdr:colOff>
      <xdr:row>73</xdr:row>
      <xdr:rowOff>131885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50A85E-DC83-4A78-87DF-7E8D121AD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165340</xdr:colOff>
      <xdr:row>22</xdr:row>
      <xdr:rowOff>113868</xdr:rowOff>
    </xdr:from>
    <xdr:to>
      <xdr:col>11</xdr:col>
      <xdr:colOff>618227</xdr:colOff>
      <xdr:row>38</xdr:row>
      <xdr:rowOff>165340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7383A8-F71A-4203-AF7C-5C1A2CE36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442752</xdr:colOff>
      <xdr:row>42</xdr:row>
      <xdr:rowOff>10998</xdr:rowOff>
    </xdr:from>
    <xdr:to>
      <xdr:col>11</xdr:col>
      <xdr:colOff>424131</xdr:colOff>
      <xdr:row>58</xdr:row>
      <xdr:rowOff>129396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0A0E80-7FA9-4BC4-8327-06796188D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409755</xdr:colOff>
      <xdr:row>6</xdr:row>
      <xdr:rowOff>171450</xdr:rowOff>
    </xdr:from>
    <xdr:to>
      <xdr:col>11</xdr:col>
      <xdr:colOff>611038</xdr:colOff>
      <xdr:row>20</xdr:row>
      <xdr:rowOff>100641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8838FC-BE80-4516-ADAC-FD32E5902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80010</xdr:rowOff>
    </xdr:from>
    <xdr:to>
      <xdr:col>4</xdr:col>
      <xdr:colOff>613410</xdr:colOff>
      <xdr:row>20</xdr:row>
      <xdr:rowOff>102830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62196C-61E5-434E-A42D-16A17F1AE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</xdr:row>
      <xdr:rowOff>165340</xdr:rowOff>
    </xdr:from>
    <xdr:to>
      <xdr:col>5</xdr:col>
      <xdr:colOff>265981</xdr:colOff>
      <xdr:row>36</xdr:row>
      <xdr:rowOff>136585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C961D9-EA2B-4C49-90EF-6E01CFCF3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42</xdr:row>
      <xdr:rowOff>31488</xdr:rowOff>
    </xdr:from>
    <xdr:to>
      <xdr:col>5</xdr:col>
      <xdr:colOff>537210</xdr:colOff>
      <xdr:row>55</xdr:row>
      <xdr:rowOff>134573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5B47AEF-5216-4F49-87A5-8C760FED9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57</xdr:row>
      <xdr:rowOff>139065</xdr:rowOff>
    </xdr:from>
    <xdr:to>
      <xdr:col>9</xdr:col>
      <xdr:colOff>0</xdr:colOff>
      <xdr:row>70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47A5DF-7EC7-4132-9C00-165D95C50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3</xdr:row>
      <xdr:rowOff>14287</xdr:rowOff>
    </xdr:from>
    <xdr:to>
      <xdr:col>11</xdr:col>
      <xdr:colOff>422910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L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TELARES%20Y%20JAQ\KY7.xlsx" TargetMode="External"/><Relationship Id="rId18" Type="http://schemas.openxmlformats.org/officeDocument/2006/relationships/hyperlink" Target="../TELARES%20Y%20JAQ/KY7.xlsx" TargetMode="External"/><Relationship Id="rId26" Type="http://schemas.openxmlformats.org/officeDocument/2006/relationships/hyperlink" Target="..\TELARES%20Y%20JAQ\JAQ6.xlsx" TargetMode="External"/><Relationship Id="rId39" Type="http://schemas.openxmlformats.org/officeDocument/2006/relationships/hyperlink" Target="..\TELARES%20Y%20JAQ\KY15.xlsx" TargetMode="External"/><Relationship Id="rId21" Type="http://schemas.openxmlformats.org/officeDocument/2006/relationships/hyperlink" Target="..\TELARES%20Y%20JAQ\KY12.xlsx" TargetMode="External"/><Relationship Id="rId34" Type="http://schemas.openxmlformats.org/officeDocument/2006/relationships/hyperlink" Target="..\TELARES%20Y%20JAQ\JAQ17.xlsx" TargetMode="External"/><Relationship Id="rId42" Type="http://schemas.openxmlformats.org/officeDocument/2006/relationships/hyperlink" Target="..\TELARES%20Y%20JAQ\KY19.xlsx" TargetMode="External"/><Relationship Id="rId47" Type="http://schemas.openxmlformats.org/officeDocument/2006/relationships/hyperlink" Target="..\TELARES%20Y%20JAQ\KY17.xlsx" TargetMode="External"/><Relationship Id="rId50" Type="http://schemas.openxmlformats.org/officeDocument/2006/relationships/hyperlink" Target="..\TELARES%20Y%20JAQ\KY8.xlsx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..\TELARES%20Y%20JAQ\KY12.xlsx" TargetMode="External"/><Relationship Id="rId2" Type="http://schemas.openxmlformats.org/officeDocument/2006/relationships/hyperlink" Target="..\TELARES%20Y%20JAQ\KY5.xlsx" TargetMode="External"/><Relationship Id="rId16" Type="http://schemas.openxmlformats.org/officeDocument/2006/relationships/hyperlink" Target="../TELARES%20Y%20JAQ/KY11.xlsx" TargetMode="External"/><Relationship Id="rId29" Type="http://schemas.openxmlformats.org/officeDocument/2006/relationships/hyperlink" Target="..\TELARES%20Y%20JAQ\KY17.xlsx" TargetMode="External"/><Relationship Id="rId11" Type="http://schemas.openxmlformats.org/officeDocument/2006/relationships/hyperlink" Target="..\TELARES%20Y%20JAQ\JAQ10.xlsx" TargetMode="External"/><Relationship Id="rId24" Type="http://schemas.openxmlformats.org/officeDocument/2006/relationships/hyperlink" Target="..\TELARES%20Y%20JAQ\KY19.xlsx" TargetMode="External"/><Relationship Id="rId32" Type="http://schemas.openxmlformats.org/officeDocument/2006/relationships/hyperlink" Target="..\TELARES%20Y%20JAQ\JAQ19.xlsx" TargetMode="External"/><Relationship Id="rId37" Type="http://schemas.openxmlformats.org/officeDocument/2006/relationships/hyperlink" Target="..\TELARES%20Y%20JAQ\JAQ3.xlsx" TargetMode="External"/><Relationship Id="rId40" Type="http://schemas.openxmlformats.org/officeDocument/2006/relationships/hyperlink" Target="..\TELARES%20Y%20JAQ\KY5.xlsx" TargetMode="External"/><Relationship Id="rId45" Type="http://schemas.openxmlformats.org/officeDocument/2006/relationships/hyperlink" Target="..\TELARES%20Y%20JAQ\KY2.xlsx" TargetMode="External"/><Relationship Id="rId53" Type="http://schemas.openxmlformats.org/officeDocument/2006/relationships/hyperlink" Target="..\TELARES%20Y%20JAQ\KY4.xlsx" TargetMode="External"/><Relationship Id="rId58" Type="http://schemas.openxmlformats.org/officeDocument/2006/relationships/comments" Target="../comments1.xml"/><Relationship Id="rId5" Type="http://schemas.openxmlformats.org/officeDocument/2006/relationships/hyperlink" Target="..\TELARES%20Y%20JAQ\KY2.xlsx" TargetMode="External"/><Relationship Id="rId19" Type="http://schemas.openxmlformats.org/officeDocument/2006/relationships/hyperlink" Target="..\TELARES%20Y%20JAQ\KY15.xlsx" TargetMode="External"/><Relationship Id="rId4" Type="http://schemas.openxmlformats.org/officeDocument/2006/relationships/hyperlink" Target="..\TELARES%20Y%20JAQ\KY13.xlsx" TargetMode="External"/><Relationship Id="rId9" Type="http://schemas.openxmlformats.org/officeDocument/2006/relationships/hyperlink" Target="..\TELARES%20Y%20JAQ\JAQ18.xlsx" TargetMode="External"/><Relationship Id="rId14" Type="http://schemas.openxmlformats.org/officeDocument/2006/relationships/hyperlink" Target="..\TELARES%20Y%20JAQ\KY9.xlsx" TargetMode="External"/><Relationship Id="rId22" Type="http://schemas.openxmlformats.org/officeDocument/2006/relationships/hyperlink" Target="..\TELARES%20Y%20JAQ\KY5.xlsx" TargetMode="External"/><Relationship Id="rId27" Type="http://schemas.openxmlformats.org/officeDocument/2006/relationships/hyperlink" Target="..\TELARES%20Y%20JAQ\JAQ8.xlsx" TargetMode="External"/><Relationship Id="rId30" Type="http://schemas.openxmlformats.org/officeDocument/2006/relationships/hyperlink" Target="..\TELARES%20Y%20JAQ\JAQ13.xlsx" TargetMode="External"/><Relationship Id="rId35" Type="http://schemas.openxmlformats.org/officeDocument/2006/relationships/hyperlink" Target="..\TELARES%20Y%20JAQ\KY5.xlsx" TargetMode="External"/><Relationship Id="rId43" Type="http://schemas.openxmlformats.org/officeDocument/2006/relationships/hyperlink" Target="..\TELARES%20Y%20JAQ\KY7.xlsx" TargetMode="External"/><Relationship Id="rId48" Type="http://schemas.openxmlformats.org/officeDocument/2006/relationships/hyperlink" Target="..\TELARES%20Y%20JAQ\KY2.xlsx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..\TELARES%20Y%20JAQ\JAQ2.xlsx" TargetMode="External"/><Relationship Id="rId51" Type="http://schemas.openxmlformats.org/officeDocument/2006/relationships/hyperlink" Target="..\TELARES%20Y%20JAQ\KY6.xlsx" TargetMode="External"/><Relationship Id="rId3" Type="http://schemas.openxmlformats.org/officeDocument/2006/relationships/hyperlink" Target="..\TELARES%20Y%20JAQ\KY18.xlsx" TargetMode="External"/><Relationship Id="rId12" Type="http://schemas.openxmlformats.org/officeDocument/2006/relationships/hyperlink" Target="..\TELARES%20Y%20JAQ\JAQ9.xlsx" TargetMode="External"/><Relationship Id="rId17" Type="http://schemas.openxmlformats.org/officeDocument/2006/relationships/hyperlink" Target="../TELARES%20Y%20JAQ/JAQ13.xlsx" TargetMode="External"/><Relationship Id="rId25" Type="http://schemas.openxmlformats.org/officeDocument/2006/relationships/hyperlink" Target="..\TELARES%20Y%20JAQ\KY10.xlsx" TargetMode="External"/><Relationship Id="rId33" Type="http://schemas.openxmlformats.org/officeDocument/2006/relationships/hyperlink" Target="..\TELARES%20Y%20JAQ\JAQ18.xlsx" TargetMode="External"/><Relationship Id="rId38" Type="http://schemas.openxmlformats.org/officeDocument/2006/relationships/hyperlink" Target="..\TELARES%20Y%20JAQ\JAQ11.xlsx" TargetMode="External"/><Relationship Id="rId46" Type="http://schemas.openxmlformats.org/officeDocument/2006/relationships/hyperlink" Target="..\TELARES%20Y%20JAQ\KY13.xlsx" TargetMode="External"/><Relationship Id="rId20" Type="http://schemas.openxmlformats.org/officeDocument/2006/relationships/hyperlink" Target="..\TELARES%20Y%20JAQ\KY15.xlsx" TargetMode="External"/><Relationship Id="rId41" Type="http://schemas.openxmlformats.org/officeDocument/2006/relationships/hyperlink" Target="..\TELARES%20Y%20JAQ\JAQ2.xlsx" TargetMode="External"/><Relationship Id="rId54" Type="http://schemas.openxmlformats.org/officeDocument/2006/relationships/hyperlink" Target="../../../CINTATEX/AppData/Roaming/Microsoft/TELARES%20Y%20JAQ/JAQ14.xlsx" TargetMode="External"/><Relationship Id="rId1" Type="http://schemas.openxmlformats.org/officeDocument/2006/relationships/hyperlink" Target="..\TELARES%20Y%20JAQ\KY7.xlsx" TargetMode="External"/><Relationship Id="rId6" Type="http://schemas.openxmlformats.org/officeDocument/2006/relationships/hyperlink" Target="..\TELARES%20Y%20JAQ\JAQ4.xlsx" TargetMode="External"/><Relationship Id="rId15" Type="http://schemas.openxmlformats.org/officeDocument/2006/relationships/hyperlink" Target="..\TELARES%20Y%20JAQ\JAQ5.xlsx" TargetMode="External"/><Relationship Id="rId23" Type="http://schemas.openxmlformats.org/officeDocument/2006/relationships/hyperlink" Target="..\TELARES%20Y%20JAQ\KY5.xlsx" TargetMode="External"/><Relationship Id="rId28" Type="http://schemas.openxmlformats.org/officeDocument/2006/relationships/hyperlink" Target="..\TELARES%20Y%20JAQ\JAQ2.xlsx" TargetMode="External"/><Relationship Id="rId36" Type="http://schemas.openxmlformats.org/officeDocument/2006/relationships/hyperlink" Target="..\TELARES%20Y%20JAQ\KY9.xlsx" TargetMode="External"/><Relationship Id="rId49" Type="http://schemas.openxmlformats.org/officeDocument/2006/relationships/hyperlink" Target="..\TELARES%20Y%20JAQ\JAQ10.xlsx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..\TELARES%20Y%20JAQ\JAQ19.xlsx" TargetMode="External"/><Relationship Id="rId31" Type="http://schemas.openxmlformats.org/officeDocument/2006/relationships/hyperlink" Target="..\TELARES%20Y%20JAQ\KY20.xlsx" TargetMode="External"/><Relationship Id="rId44" Type="http://schemas.openxmlformats.org/officeDocument/2006/relationships/hyperlink" Target="..\TELARES%20Y%20JAQ\JAQ5.xlsx" TargetMode="External"/><Relationship Id="rId52" Type="http://schemas.openxmlformats.org/officeDocument/2006/relationships/hyperlink" Target="..\TELARES%20Y%20JAQ\JAQ7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TELARES%20Y%20JAQ/KY5.xlsx" TargetMode="External"/><Relationship Id="rId13" Type="http://schemas.openxmlformats.org/officeDocument/2006/relationships/hyperlink" Target="../../../TELARES%20Y%20JAQ/JAQ5.xlsx" TargetMode="External"/><Relationship Id="rId18" Type="http://schemas.openxmlformats.org/officeDocument/2006/relationships/hyperlink" Target="../TELARES%20Y%20JAQ/JAQ13.xlsx" TargetMode="External"/><Relationship Id="rId26" Type="http://schemas.openxmlformats.org/officeDocument/2006/relationships/hyperlink" Target="..\TELARES%20Y%20JAQ\KY12.xlsx" TargetMode="External"/><Relationship Id="rId3" Type="http://schemas.openxmlformats.org/officeDocument/2006/relationships/hyperlink" Target="../../../TELARES%20Y%20JAQ/JAQ5.xlsx" TargetMode="External"/><Relationship Id="rId21" Type="http://schemas.openxmlformats.org/officeDocument/2006/relationships/hyperlink" Target="..\TELARES%20Y%20JAQ\KY15.xlsx" TargetMode="External"/><Relationship Id="rId7" Type="http://schemas.openxmlformats.org/officeDocument/2006/relationships/hyperlink" Target="../../../TELARES%20Y%20JAQ/KY5.xlsx" TargetMode="External"/><Relationship Id="rId12" Type="http://schemas.openxmlformats.org/officeDocument/2006/relationships/hyperlink" Target="../../../TELARES%20Y%20JAQ/KY5.xlsx" TargetMode="External"/><Relationship Id="rId17" Type="http://schemas.openxmlformats.org/officeDocument/2006/relationships/hyperlink" Target="../TELARES%20Y%20JAQ/KY11.xlsx" TargetMode="External"/><Relationship Id="rId25" Type="http://schemas.openxmlformats.org/officeDocument/2006/relationships/hyperlink" Target="..\TELARES%20Y%20JAQ\KY5.xlsx" TargetMode="External"/><Relationship Id="rId2" Type="http://schemas.openxmlformats.org/officeDocument/2006/relationships/hyperlink" Target="../../../TELARES%20Y%20JAQ/JAQ13.xlsx" TargetMode="External"/><Relationship Id="rId16" Type="http://schemas.openxmlformats.org/officeDocument/2006/relationships/hyperlink" Target="../TELARES%20Y%20JAQ/JAQ5.xlsx" TargetMode="External"/><Relationship Id="rId20" Type="http://schemas.openxmlformats.org/officeDocument/2006/relationships/hyperlink" Target="..\TELARES%20Y%20JAQ\KY15.xlsx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../../../TELARES%20Y%20JAQ/KY11.xlsx" TargetMode="External"/><Relationship Id="rId6" Type="http://schemas.openxmlformats.org/officeDocument/2006/relationships/hyperlink" Target="../../../TELARES%20Y%20JAQ/KY12.xlsx" TargetMode="External"/><Relationship Id="rId11" Type="http://schemas.openxmlformats.org/officeDocument/2006/relationships/hyperlink" Target="../../../TELARES%20Y%20JAQ/KY15.xlsx" TargetMode="External"/><Relationship Id="rId24" Type="http://schemas.openxmlformats.org/officeDocument/2006/relationships/hyperlink" Target="..\TELARES%20Y%20JAQ\KY5.xlsx" TargetMode="External"/><Relationship Id="rId5" Type="http://schemas.openxmlformats.org/officeDocument/2006/relationships/hyperlink" Target="../../../TELARES%20Y%20JAQ/KY7.xlsx" TargetMode="External"/><Relationship Id="rId15" Type="http://schemas.openxmlformats.org/officeDocument/2006/relationships/hyperlink" Target="..\..\..\TELARES%20Y%20JAQ\KY11.xlsx" TargetMode="External"/><Relationship Id="rId23" Type="http://schemas.openxmlformats.org/officeDocument/2006/relationships/hyperlink" Target="..\TELARES%20Y%20JAQ\KY5.xlsx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../../../TELARES%20Y%20JAQ/KY7.xlsx" TargetMode="External"/><Relationship Id="rId19" Type="http://schemas.openxmlformats.org/officeDocument/2006/relationships/hyperlink" Target="../TELARES%20Y%20JAQ/KY7.xlsx" TargetMode="External"/><Relationship Id="rId4" Type="http://schemas.openxmlformats.org/officeDocument/2006/relationships/hyperlink" Target="../../../TELARES%20Y%20JAQ/KY15.xlsx" TargetMode="External"/><Relationship Id="rId9" Type="http://schemas.openxmlformats.org/officeDocument/2006/relationships/hyperlink" Target="../../../TELARES%20Y%20JAQ/KY12.xlsx" TargetMode="External"/><Relationship Id="rId14" Type="http://schemas.openxmlformats.org/officeDocument/2006/relationships/hyperlink" Target="../../../TELARES%20Y%20JAQ/JAQ13.xlsx" TargetMode="External"/><Relationship Id="rId22" Type="http://schemas.openxmlformats.org/officeDocument/2006/relationships/hyperlink" Target="..\TELARES%20Y%20JAQ\KY12.xlsx" TargetMode="External"/><Relationship Id="rId27" Type="http://schemas.openxmlformats.org/officeDocument/2006/relationships/hyperlink" Target="..\TELARES%20Y%20JAQ\KY12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\TELARES%20Y%20JAQ\KY5.xlsx" TargetMode="External"/><Relationship Id="rId18" Type="http://schemas.openxmlformats.org/officeDocument/2006/relationships/hyperlink" Target="..\TELARES%20Y%20JAQ\JAQ8.xlsx" TargetMode="External"/><Relationship Id="rId26" Type="http://schemas.openxmlformats.org/officeDocument/2006/relationships/hyperlink" Target="..\TELARES%20Y%20JAQ\KY5.xlsx" TargetMode="External"/><Relationship Id="rId39" Type="http://schemas.openxmlformats.org/officeDocument/2006/relationships/hyperlink" Target="..\TELARES%20Y%20JAQ\JAQ4.xlsx" TargetMode="External"/><Relationship Id="rId21" Type="http://schemas.openxmlformats.org/officeDocument/2006/relationships/hyperlink" Target="..\TELARES%20Y%20JAQ\JAQ13.xlsx" TargetMode="External"/><Relationship Id="rId34" Type="http://schemas.openxmlformats.org/officeDocument/2006/relationships/hyperlink" Target="..\TELARES%20Y%20JAQ\KY7.xlsx" TargetMode="External"/><Relationship Id="rId42" Type="http://schemas.openxmlformats.org/officeDocument/2006/relationships/hyperlink" Target="..\TELARES%20Y%20JAQ\KY9.xlsx" TargetMode="External"/><Relationship Id="rId47" Type="http://schemas.openxmlformats.org/officeDocument/2006/relationships/hyperlink" Target="..\TELARES%20Y%20JAQ\KY17.xlsx" TargetMode="External"/><Relationship Id="rId50" Type="http://schemas.openxmlformats.org/officeDocument/2006/relationships/hyperlink" Target="..\TELARES%20Y%20JAQ\KY8.xlsx" TargetMode="External"/><Relationship Id="rId55" Type="http://schemas.openxmlformats.org/officeDocument/2006/relationships/printerSettings" Target="../printerSettings/printerSettings4.bin"/><Relationship Id="rId7" Type="http://schemas.openxmlformats.org/officeDocument/2006/relationships/hyperlink" Target="../TELARES%20Y%20JAQ/KY11.xlsx" TargetMode="External"/><Relationship Id="rId2" Type="http://schemas.openxmlformats.org/officeDocument/2006/relationships/hyperlink" Target="..\TELARES%20Y%20JAQ\JAQ2.xlsx" TargetMode="External"/><Relationship Id="rId16" Type="http://schemas.openxmlformats.org/officeDocument/2006/relationships/hyperlink" Target="..\TELARES%20Y%20JAQ\KY10.xlsx" TargetMode="External"/><Relationship Id="rId29" Type="http://schemas.openxmlformats.org/officeDocument/2006/relationships/hyperlink" Target="..\TELARES%20Y%20JAQ\JAQ11.xlsx" TargetMode="External"/><Relationship Id="rId11" Type="http://schemas.openxmlformats.org/officeDocument/2006/relationships/hyperlink" Target="..\TELARES%20Y%20JAQ\KY15.xlsx" TargetMode="External"/><Relationship Id="rId24" Type="http://schemas.openxmlformats.org/officeDocument/2006/relationships/hyperlink" Target="..\TELARES%20Y%20JAQ\JAQ18.xlsx" TargetMode="External"/><Relationship Id="rId32" Type="http://schemas.openxmlformats.org/officeDocument/2006/relationships/hyperlink" Target="..\TELARES%20Y%20JAQ\JAQ2.xlsx" TargetMode="External"/><Relationship Id="rId37" Type="http://schemas.openxmlformats.org/officeDocument/2006/relationships/hyperlink" Target="..\TELARES%20Y%20JAQ\KY13.xlsx" TargetMode="External"/><Relationship Id="rId40" Type="http://schemas.openxmlformats.org/officeDocument/2006/relationships/hyperlink" Target="..\TELARES%20Y%20JAQ\JAQ10.xlsx" TargetMode="External"/><Relationship Id="rId45" Type="http://schemas.openxmlformats.org/officeDocument/2006/relationships/hyperlink" Target="..\TELARES%20Y%20JAQ\KY2.xlsx" TargetMode="External"/><Relationship Id="rId53" Type="http://schemas.openxmlformats.org/officeDocument/2006/relationships/hyperlink" Target="..\TELARES%20Y%20JAQ\KY4.xlsx" TargetMode="External"/><Relationship Id="rId58" Type="http://schemas.openxmlformats.org/officeDocument/2006/relationships/comments" Target="../comments2.xml"/><Relationship Id="rId5" Type="http://schemas.openxmlformats.org/officeDocument/2006/relationships/hyperlink" Target="..\TELARES%20Y%20JAQ\JAQ9.xlsx" TargetMode="External"/><Relationship Id="rId19" Type="http://schemas.openxmlformats.org/officeDocument/2006/relationships/hyperlink" Target="..\TELARES%20Y%20JAQ\JAQ2.xlsx" TargetMode="External"/><Relationship Id="rId4" Type="http://schemas.openxmlformats.org/officeDocument/2006/relationships/hyperlink" Target="..\TELARES%20Y%20JAQ\JAQ19.xlsx" TargetMode="External"/><Relationship Id="rId9" Type="http://schemas.openxmlformats.org/officeDocument/2006/relationships/hyperlink" Target="../TELARES%20Y%20JAQ/KY7.xlsx" TargetMode="External"/><Relationship Id="rId14" Type="http://schemas.openxmlformats.org/officeDocument/2006/relationships/hyperlink" Target="..\TELARES%20Y%20JAQ\KY5.xlsx" TargetMode="External"/><Relationship Id="rId22" Type="http://schemas.openxmlformats.org/officeDocument/2006/relationships/hyperlink" Target="..\TELARES%20Y%20JAQ\KY20.xlsx" TargetMode="External"/><Relationship Id="rId27" Type="http://schemas.openxmlformats.org/officeDocument/2006/relationships/hyperlink" Target="..\TELARES%20Y%20JAQ\KY9.xlsx" TargetMode="External"/><Relationship Id="rId30" Type="http://schemas.openxmlformats.org/officeDocument/2006/relationships/hyperlink" Target="..\TELARES%20Y%20JAQ\KY15.xlsx" TargetMode="External"/><Relationship Id="rId35" Type="http://schemas.openxmlformats.org/officeDocument/2006/relationships/hyperlink" Target="..\TELARES%20Y%20JAQ\KY5.xlsx" TargetMode="External"/><Relationship Id="rId43" Type="http://schemas.openxmlformats.org/officeDocument/2006/relationships/hyperlink" Target="..\TELARES%20Y%20JAQ\KY7.xlsx" TargetMode="External"/><Relationship Id="rId48" Type="http://schemas.openxmlformats.org/officeDocument/2006/relationships/hyperlink" Target="..\TELARES%20Y%20JAQ\KY2.xlsx" TargetMode="External"/><Relationship Id="rId56" Type="http://schemas.openxmlformats.org/officeDocument/2006/relationships/drawing" Target="../drawings/drawing4.xml"/><Relationship Id="rId8" Type="http://schemas.openxmlformats.org/officeDocument/2006/relationships/hyperlink" Target="../TELARES%20Y%20JAQ/JAQ13.xlsx" TargetMode="External"/><Relationship Id="rId51" Type="http://schemas.openxmlformats.org/officeDocument/2006/relationships/hyperlink" Target="..\TELARES%20Y%20JAQ\KY6.xlsx" TargetMode="External"/><Relationship Id="rId3" Type="http://schemas.openxmlformats.org/officeDocument/2006/relationships/hyperlink" Target="..\TELARES%20Y%20JAQ\JAQ18.xlsx" TargetMode="External"/><Relationship Id="rId12" Type="http://schemas.openxmlformats.org/officeDocument/2006/relationships/hyperlink" Target="..\TELARES%20Y%20JAQ\KY12.xlsx" TargetMode="External"/><Relationship Id="rId17" Type="http://schemas.openxmlformats.org/officeDocument/2006/relationships/hyperlink" Target="..\TELARES%20Y%20JAQ\JAQ6.xlsx" TargetMode="External"/><Relationship Id="rId25" Type="http://schemas.openxmlformats.org/officeDocument/2006/relationships/hyperlink" Target="..\TELARES%20Y%20JAQ\JAQ17.xlsx" TargetMode="External"/><Relationship Id="rId33" Type="http://schemas.openxmlformats.org/officeDocument/2006/relationships/hyperlink" Target="..\TELARES%20Y%20JAQ\KY19.xlsx" TargetMode="External"/><Relationship Id="rId38" Type="http://schemas.openxmlformats.org/officeDocument/2006/relationships/hyperlink" Target="..\TELARES%20Y%20JAQ\KY2.xlsx" TargetMode="External"/><Relationship Id="rId46" Type="http://schemas.openxmlformats.org/officeDocument/2006/relationships/hyperlink" Target="..\TELARES%20Y%20JAQ\KY13.xlsx" TargetMode="External"/><Relationship Id="rId20" Type="http://schemas.openxmlformats.org/officeDocument/2006/relationships/hyperlink" Target="..\TELARES%20Y%20JAQ\KY17.xlsx" TargetMode="External"/><Relationship Id="rId41" Type="http://schemas.openxmlformats.org/officeDocument/2006/relationships/hyperlink" Target="..\TELARES%20Y%20JAQ\KY7.xlsx" TargetMode="External"/><Relationship Id="rId54" Type="http://schemas.openxmlformats.org/officeDocument/2006/relationships/hyperlink" Target="..\TELARES%20Y%20JAQ\KY4.xlsx" TargetMode="External"/><Relationship Id="rId1" Type="http://schemas.openxmlformats.org/officeDocument/2006/relationships/hyperlink" Target="..\TELARES%20Y%20JAQ\KY12.xlsx" TargetMode="External"/><Relationship Id="rId6" Type="http://schemas.openxmlformats.org/officeDocument/2006/relationships/hyperlink" Target="../TELARES%20Y%20JAQ/JAQ5.xlsx" TargetMode="External"/><Relationship Id="rId15" Type="http://schemas.openxmlformats.org/officeDocument/2006/relationships/hyperlink" Target="..\TELARES%20Y%20JAQ\KY19.xlsx" TargetMode="External"/><Relationship Id="rId23" Type="http://schemas.openxmlformats.org/officeDocument/2006/relationships/hyperlink" Target="..\TELARES%20Y%20JAQ\JAQ19.xlsx" TargetMode="External"/><Relationship Id="rId28" Type="http://schemas.openxmlformats.org/officeDocument/2006/relationships/hyperlink" Target="..\TELARES%20Y%20JAQ\JAQ3.xlsx" TargetMode="External"/><Relationship Id="rId36" Type="http://schemas.openxmlformats.org/officeDocument/2006/relationships/hyperlink" Target="..\TELARES%20Y%20JAQ\KY18.xlsx" TargetMode="External"/><Relationship Id="rId49" Type="http://schemas.openxmlformats.org/officeDocument/2006/relationships/hyperlink" Target="..\TELARES%20Y%20JAQ\JAQ10.xlsx" TargetMode="External"/><Relationship Id="rId57" Type="http://schemas.openxmlformats.org/officeDocument/2006/relationships/vmlDrawing" Target="../drawings/vmlDrawing2.vml"/><Relationship Id="rId10" Type="http://schemas.openxmlformats.org/officeDocument/2006/relationships/hyperlink" Target="..\TELARES%20Y%20JAQ\KY15.xlsx" TargetMode="External"/><Relationship Id="rId31" Type="http://schemas.openxmlformats.org/officeDocument/2006/relationships/hyperlink" Target="..\TELARES%20Y%20JAQ\KY5.xlsx" TargetMode="External"/><Relationship Id="rId44" Type="http://schemas.openxmlformats.org/officeDocument/2006/relationships/hyperlink" Target="..\TELARES%20Y%20JAQ\JAQ5.xlsx" TargetMode="External"/><Relationship Id="rId52" Type="http://schemas.openxmlformats.org/officeDocument/2006/relationships/hyperlink" Target="..\TELARES%20Y%20JAQ\JAQ7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U78"/>
  <sheetViews>
    <sheetView zoomScale="60" zoomScaleNormal="60" workbookViewId="0">
      <pane xSplit="1365" ySplit="855" topLeftCell="K25" activePane="bottomRight"/>
      <selection sqref="A1:XFD53"/>
      <selection pane="topRight" activeCell="AF1" sqref="AF1"/>
      <selection pane="bottomLeft" activeCell="A73" sqref="A73:XFD73"/>
      <selection pane="bottomRight" activeCell="AA71" activeCellId="4" sqref="AA2:AA8 AA10:AA22 AA25:AA37 AA64:AA69 AA71:AA73"/>
    </sheetView>
  </sheetViews>
  <sheetFormatPr baseColWidth="10" defaultColWidth="11" defaultRowHeight="13.2" x14ac:dyDescent="0.25"/>
  <cols>
    <col min="1" max="1" width="13.6640625" style="22" customWidth="1"/>
    <col min="2" max="2" width="52.5546875" style="22" customWidth="1"/>
    <col min="3" max="3" width="9.5546875" style="22" customWidth="1"/>
    <col min="4" max="4" width="11" style="22"/>
    <col min="5" max="5" width="12.88671875" style="22" customWidth="1"/>
    <col min="6" max="6" width="11" style="31" bestFit="1" customWidth="1"/>
    <col min="7" max="7" width="13.44140625" style="31" customWidth="1"/>
    <col min="8" max="8" width="11" style="22" customWidth="1"/>
    <col min="9" max="11" width="11" style="31" customWidth="1"/>
    <col min="12" max="13" width="11" style="22" customWidth="1"/>
    <col min="14" max="16" width="11" style="54" customWidth="1"/>
    <col min="17" max="17" width="11" style="68" customWidth="1"/>
    <col min="18" max="18" width="11" style="47" customWidth="1"/>
    <col min="19" max="19" width="11" style="71" customWidth="1"/>
    <col min="20" max="20" width="11" style="48" customWidth="1"/>
    <col min="21" max="21" width="11" style="72" customWidth="1"/>
    <col min="22" max="22" width="11" style="49" customWidth="1"/>
    <col min="23" max="23" width="11" style="73" customWidth="1"/>
    <col min="24" max="25" width="11" style="50" customWidth="1"/>
    <col min="26" max="26" width="11" style="22" customWidth="1"/>
    <col min="27" max="27" width="16.44140625" style="22" customWidth="1"/>
    <col min="28" max="28" width="11" style="22"/>
    <col min="29" max="32" width="11" style="22" customWidth="1"/>
    <col min="33" max="33" width="10.6640625" style="22" customWidth="1"/>
    <col min="34" max="34" width="11" style="22" bestFit="1" customWidth="1"/>
    <col min="35" max="35" width="23" style="22" customWidth="1"/>
    <col min="36" max="36" width="11" style="22"/>
    <col min="37" max="37" width="17.109375" style="22" customWidth="1"/>
    <col min="38" max="38" width="14.6640625" style="22" customWidth="1"/>
    <col min="39" max="45" width="11" style="22"/>
    <col min="46" max="46" width="18.88671875" style="22" hidden="1" customWidth="1"/>
    <col min="47" max="47" width="19.44140625" style="22" hidden="1" customWidth="1"/>
    <col min="48" max="50" width="0" style="22" hidden="1" customWidth="1"/>
    <col min="51" max="16384" width="11" style="22"/>
  </cols>
  <sheetData>
    <row r="1" spans="1:47" s="31" customFormat="1" ht="66" x14ac:dyDescent="0.25">
      <c r="A1" s="1" t="s">
        <v>43</v>
      </c>
      <c r="B1" s="1" t="s">
        <v>0</v>
      </c>
      <c r="C1" s="2" t="s">
        <v>1</v>
      </c>
      <c r="D1" s="3" t="s">
        <v>2</v>
      </c>
      <c r="E1" s="29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 t="s">
        <v>11</v>
      </c>
      <c r="N1" s="8" t="s">
        <v>12</v>
      </c>
      <c r="O1" s="8" t="s">
        <v>13</v>
      </c>
      <c r="P1" s="64" t="s">
        <v>155</v>
      </c>
      <c r="Q1" s="9" t="s">
        <v>14</v>
      </c>
      <c r="R1" s="10" t="s">
        <v>15</v>
      </c>
      <c r="S1" s="11" t="s">
        <v>16</v>
      </c>
      <c r="T1" s="12" t="s">
        <v>15</v>
      </c>
      <c r="U1" s="13" t="s">
        <v>17</v>
      </c>
      <c r="V1" s="14" t="s">
        <v>15</v>
      </c>
      <c r="W1" s="15" t="s">
        <v>18</v>
      </c>
      <c r="X1" s="15" t="s">
        <v>15</v>
      </c>
      <c r="Y1" s="16" t="s">
        <v>262</v>
      </c>
      <c r="Z1" s="17" t="s">
        <v>19</v>
      </c>
      <c r="AA1" s="18" t="s">
        <v>20</v>
      </c>
      <c r="AB1" s="30" t="s">
        <v>21</v>
      </c>
      <c r="AC1" s="19" t="s">
        <v>22</v>
      </c>
      <c r="AD1" s="20" t="s">
        <v>70</v>
      </c>
      <c r="AE1" s="62" t="s">
        <v>153</v>
      </c>
      <c r="AF1" s="65" t="s">
        <v>157</v>
      </c>
      <c r="AG1" s="65" t="s">
        <v>156</v>
      </c>
      <c r="AH1" s="63" t="s">
        <v>154</v>
      </c>
      <c r="AI1" s="21" t="s">
        <v>23</v>
      </c>
    </row>
    <row r="2" spans="1:47" ht="14.4" x14ac:dyDescent="0.3">
      <c r="A2" s="61" t="s">
        <v>74</v>
      </c>
      <c r="B2" s="32" t="s">
        <v>72</v>
      </c>
      <c r="C2" s="32" t="s">
        <v>46</v>
      </c>
      <c r="D2" s="32" t="s">
        <v>55</v>
      </c>
      <c r="E2" s="32" t="s">
        <v>33</v>
      </c>
      <c r="F2" s="34">
        <v>7800</v>
      </c>
      <c r="G2" s="34">
        <v>8925</v>
      </c>
      <c r="H2" s="32">
        <v>8500</v>
      </c>
      <c r="I2" s="34">
        <v>1080</v>
      </c>
      <c r="J2" s="34">
        <v>233</v>
      </c>
      <c r="K2" s="34">
        <v>2.1</v>
      </c>
      <c r="L2" s="35">
        <f t="shared" ref="L2:L45" si="0">+J2/G2</f>
        <v>2.6106442577030813E-2</v>
      </c>
      <c r="M2" s="36">
        <v>0.96</v>
      </c>
      <c r="N2" s="38">
        <v>46231</v>
      </c>
      <c r="O2" s="38">
        <v>46232</v>
      </c>
      <c r="P2" s="38">
        <v>46239</v>
      </c>
      <c r="Q2" s="51">
        <v>46237</v>
      </c>
      <c r="R2" s="41">
        <f t="shared" ref="R2:R37" si="1">IF(Q2="","",NETWORKDAYS(N2,Q2))</f>
        <v>5</v>
      </c>
      <c r="S2" s="52">
        <v>46240</v>
      </c>
      <c r="T2" s="42">
        <f t="shared" ref="T2:T37" si="2">IF(S2="","",NETWORKDAYS(Q2,S2))</f>
        <v>4</v>
      </c>
      <c r="U2" s="39">
        <v>46245</v>
      </c>
      <c r="V2" s="43">
        <f t="shared" ref="V2:V37" si="3">IF(U2="","",NETWORKDAYS(S2,U2))</f>
        <v>4</v>
      </c>
      <c r="W2" s="40">
        <v>46247</v>
      </c>
      <c r="X2" s="44">
        <f t="shared" ref="X2:X52" si="4">IF(W2="","",NETWORKDAYS(U2,W2))</f>
        <v>3</v>
      </c>
      <c r="Y2" s="44">
        <f>IF(W2="","",NETWORKDAYS(N2,W2))</f>
        <v>13</v>
      </c>
      <c r="Z2" s="34" t="str">
        <f>IF(Y2="","",IF(Y2&lt;=20,"EFICIENTE","NO EFICIENTE"))</f>
        <v>EFICIENTE</v>
      </c>
      <c r="AA2" s="32" t="s">
        <v>129</v>
      </c>
      <c r="AB2" s="32" t="s">
        <v>73</v>
      </c>
      <c r="AC2" s="32">
        <v>56.04</v>
      </c>
      <c r="AD2" s="32">
        <v>6</v>
      </c>
      <c r="AE2" s="32">
        <v>24</v>
      </c>
      <c r="AF2" s="32">
        <f t="shared" ref="AF2:AF42" si="5">ROUNDUP((F2*1/(AC2*AD2*M2*AE2)),0)</f>
        <v>2</v>
      </c>
      <c r="AG2" s="66">
        <f>32/24</f>
        <v>1.3333333333333333</v>
      </c>
      <c r="AH2" s="37">
        <f t="shared" ref="AH2:AH37" si="6">WORKDAY.INTL(P2,AF2,1,0)</f>
        <v>46241</v>
      </c>
      <c r="AI2" s="32"/>
    </row>
    <row r="3" spans="1:47" ht="14.4" x14ac:dyDescent="0.3">
      <c r="A3" s="61" t="s">
        <v>66</v>
      </c>
      <c r="B3" s="32" t="s">
        <v>67</v>
      </c>
      <c r="C3" s="32" t="s">
        <v>71</v>
      </c>
      <c r="D3" s="32" t="s">
        <v>55</v>
      </c>
      <c r="E3" s="32" t="s">
        <v>31</v>
      </c>
      <c r="F3" s="34">
        <v>4000</v>
      </c>
      <c r="G3" s="34">
        <v>4848</v>
      </c>
      <c r="H3" s="32">
        <v>4250</v>
      </c>
      <c r="I3" s="34" t="s">
        <v>125</v>
      </c>
      <c r="J3" s="34">
        <v>578</v>
      </c>
      <c r="K3" s="34">
        <v>13.4</v>
      </c>
      <c r="L3" s="35">
        <f t="shared" si="0"/>
        <v>0.11922442244224422</v>
      </c>
      <c r="M3" s="36">
        <v>0.8</v>
      </c>
      <c r="N3" s="38">
        <v>46205</v>
      </c>
      <c r="O3" s="38">
        <v>46205</v>
      </c>
      <c r="P3" s="38">
        <v>46238</v>
      </c>
      <c r="Q3" s="51">
        <v>46234</v>
      </c>
      <c r="R3" s="41">
        <f t="shared" si="1"/>
        <v>22</v>
      </c>
      <c r="S3" s="52">
        <v>46240</v>
      </c>
      <c r="T3" s="42">
        <f t="shared" si="2"/>
        <v>5</v>
      </c>
      <c r="U3" s="39">
        <v>46241</v>
      </c>
      <c r="V3" s="43">
        <f t="shared" si="3"/>
        <v>2</v>
      </c>
      <c r="W3" s="40">
        <v>46246</v>
      </c>
      <c r="X3" s="44">
        <f t="shared" si="4"/>
        <v>4</v>
      </c>
      <c r="Y3" s="44">
        <f t="shared" ref="Y3:Y45" si="7">IF(W3="","",NETWORKDAYS(N3,W3))</f>
        <v>30</v>
      </c>
      <c r="Z3" s="34" t="str">
        <f>IF(Y3="","",IF(Y3&lt;=32,"EFICIENTE","NO EFICIENTE"))</f>
        <v>EFICIENTE</v>
      </c>
      <c r="AA3" s="32" t="s">
        <v>129</v>
      </c>
      <c r="AB3" s="32" t="s">
        <v>68</v>
      </c>
      <c r="AC3" s="32">
        <v>45.72</v>
      </c>
      <c r="AD3" s="32">
        <v>6</v>
      </c>
      <c r="AE3" s="32">
        <v>24</v>
      </c>
      <c r="AF3" s="32">
        <f t="shared" si="5"/>
        <v>1</v>
      </c>
      <c r="AG3" s="32">
        <f>30/24</f>
        <v>1.25</v>
      </c>
      <c r="AH3" s="37">
        <f t="shared" si="6"/>
        <v>46239</v>
      </c>
      <c r="AI3" s="32"/>
      <c r="AK3" s="171" t="s">
        <v>38</v>
      </c>
      <c r="AL3" s="172"/>
    </row>
    <row r="4" spans="1:47" ht="14.4" x14ac:dyDescent="0.3">
      <c r="A4" s="61" t="s">
        <v>53</v>
      </c>
      <c r="B4" s="32" t="s">
        <v>63</v>
      </c>
      <c r="C4" s="32" t="s">
        <v>54</v>
      </c>
      <c r="D4" s="32" t="s">
        <v>64</v>
      </c>
      <c r="E4" s="32" t="s">
        <v>33</v>
      </c>
      <c r="F4" s="34">
        <v>460</v>
      </c>
      <c r="G4" s="34">
        <v>547</v>
      </c>
      <c r="H4" s="32"/>
      <c r="I4" s="34"/>
      <c r="J4" s="34"/>
      <c r="K4" s="34"/>
      <c r="L4" s="35">
        <f t="shared" si="0"/>
        <v>0</v>
      </c>
      <c r="M4" s="36">
        <v>1</v>
      </c>
      <c r="N4" s="38">
        <v>46224</v>
      </c>
      <c r="O4" s="38">
        <v>46224</v>
      </c>
      <c r="P4" s="38">
        <v>46238</v>
      </c>
      <c r="Q4" s="51">
        <v>46232</v>
      </c>
      <c r="R4" s="41">
        <f t="shared" si="1"/>
        <v>7</v>
      </c>
      <c r="S4" s="52">
        <v>46238</v>
      </c>
      <c r="T4" s="42">
        <f t="shared" si="2"/>
        <v>5</v>
      </c>
      <c r="U4" s="39">
        <v>46252</v>
      </c>
      <c r="V4" s="43">
        <f t="shared" si="3"/>
        <v>11</v>
      </c>
      <c r="W4" s="40">
        <v>46224</v>
      </c>
      <c r="X4" s="44">
        <f t="shared" si="4"/>
        <v>-21</v>
      </c>
      <c r="Y4" s="44">
        <f t="shared" si="7"/>
        <v>1</v>
      </c>
      <c r="Z4" s="34" t="str">
        <f t="shared" ref="Z4:Z14" si="8">IF(Y4="","",IF(Y4&lt;=20,"EFICIENTE","NO EFICIENTE"))</f>
        <v>EFICIENTE</v>
      </c>
      <c r="AA4" s="32" t="s">
        <v>129</v>
      </c>
      <c r="AB4" s="32" t="s">
        <v>65</v>
      </c>
      <c r="AC4" s="32">
        <v>19.32</v>
      </c>
      <c r="AD4" s="32">
        <v>2</v>
      </c>
      <c r="AE4" s="32">
        <v>13</v>
      </c>
      <c r="AF4" s="32">
        <f t="shared" si="5"/>
        <v>1</v>
      </c>
      <c r="AG4" s="32">
        <f>13/13</f>
        <v>1</v>
      </c>
      <c r="AH4" s="37">
        <f t="shared" si="6"/>
        <v>46239</v>
      </c>
      <c r="AI4" s="32"/>
      <c r="AK4" s="56" t="s">
        <v>98</v>
      </c>
      <c r="AL4" s="32">
        <v>26</v>
      </c>
      <c r="AT4" s="58" t="s">
        <v>97</v>
      </c>
      <c r="AU4" s="32">
        <v>2</v>
      </c>
    </row>
    <row r="5" spans="1:47" ht="14.4" x14ac:dyDescent="0.3">
      <c r="A5" s="61" t="s">
        <v>84</v>
      </c>
      <c r="B5" s="32" t="s">
        <v>85</v>
      </c>
      <c r="C5" s="32" t="s">
        <v>141</v>
      </c>
      <c r="D5" s="32" t="s">
        <v>64</v>
      </c>
      <c r="E5" s="32" t="s">
        <v>34</v>
      </c>
      <c r="F5" s="34">
        <v>1380</v>
      </c>
      <c r="G5" s="34">
        <v>1917</v>
      </c>
      <c r="H5" s="34">
        <v>1236</v>
      </c>
      <c r="I5" s="34">
        <v>1185</v>
      </c>
      <c r="J5" s="34">
        <v>64</v>
      </c>
      <c r="K5" s="34">
        <v>304</v>
      </c>
      <c r="L5" s="35">
        <f t="shared" si="0"/>
        <v>3.3385498174230567E-2</v>
      </c>
      <c r="M5" s="36">
        <v>0.84</v>
      </c>
      <c r="N5" s="38">
        <v>46233</v>
      </c>
      <c r="O5" s="38">
        <v>46234</v>
      </c>
      <c r="P5" s="38">
        <v>46245</v>
      </c>
      <c r="Q5" s="51">
        <v>46239</v>
      </c>
      <c r="R5" s="41">
        <f t="shared" si="1"/>
        <v>5</v>
      </c>
      <c r="S5" s="52">
        <v>46247</v>
      </c>
      <c r="T5" s="42">
        <f t="shared" si="2"/>
        <v>7</v>
      </c>
      <c r="U5" s="39">
        <v>46248</v>
      </c>
      <c r="V5" s="43">
        <f t="shared" si="3"/>
        <v>2</v>
      </c>
      <c r="W5" s="40">
        <v>46241</v>
      </c>
      <c r="X5" s="44">
        <f t="shared" si="4"/>
        <v>-6</v>
      </c>
      <c r="Y5" s="44">
        <f t="shared" si="7"/>
        <v>7</v>
      </c>
      <c r="Z5" s="34" t="str">
        <f t="shared" si="8"/>
        <v>EFICIENTE</v>
      </c>
      <c r="AA5" s="32" t="s">
        <v>129</v>
      </c>
      <c r="AB5" s="32" t="s">
        <v>86</v>
      </c>
      <c r="AC5" s="32">
        <v>16.920000000000002</v>
      </c>
      <c r="AD5" s="32">
        <v>2</v>
      </c>
      <c r="AE5" s="32">
        <v>24</v>
      </c>
      <c r="AF5" s="32">
        <f t="shared" si="5"/>
        <v>3</v>
      </c>
      <c r="AG5" s="32">
        <f>53/24</f>
        <v>2.2083333333333335</v>
      </c>
      <c r="AH5" s="37">
        <f t="shared" si="6"/>
        <v>46248</v>
      </c>
      <c r="AI5" s="32"/>
      <c r="AK5" s="57" t="s">
        <v>99</v>
      </c>
      <c r="AL5" s="32">
        <v>10</v>
      </c>
      <c r="AT5" s="60" t="s">
        <v>101</v>
      </c>
      <c r="AU5" s="32">
        <v>3</v>
      </c>
    </row>
    <row r="6" spans="1:47" ht="14.4" x14ac:dyDescent="0.3">
      <c r="A6" s="61" t="s">
        <v>126</v>
      </c>
      <c r="B6" s="32" t="s">
        <v>127</v>
      </c>
      <c r="C6" s="32" t="s">
        <v>128</v>
      </c>
      <c r="D6" s="32" t="s">
        <v>55</v>
      </c>
      <c r="E6" s="32" t="s">
        <v>30</v>
      </c>
      <c r="F6" s="34">
        <v>4000</v>
      </c>
      <c r="G6" s="34">
        <v>3649</v>
      </c>
      <c r="H6" s="32">
        <v>3150</v>
      </c>
      <c r="I6" s="34" t="s">
        <v>125</v>
      </c>
      <c r="J6" s="34">
        <v>318</v>
      </c>
      <c r="K6" s="34">
        <v>2.35</v>
      </c>
      <c r="L6" s="35">
        <f t="shared" si="0"/>
        <v>8.7147163606467529E-2</v>
      </c>
      <c r="M6" s="36">
        <v>0.75</v>
      </c>
      <c r="N6" s="38">
        <v>46231</v>
      </c>
      <c r="O6" s="38">
        <v>46232</v>
      </c>
      <c r="P6" s="38">
        <v>46240</v>
      </c>
      <c r="Q6" s="51">
        <v>46238</v>
      </c>
      <c r="R6" s="41">
        <f t="shared" si="1"/>
        <v>6</v>
      </c>
      <c r="S6" s="52">
        <v>46247</v>
      </c>
      <c r="T6" s="42">
        <f t="shared" si="2"/>
        <v>8</v>
      </c>
      <c r="U6" s="39">
        <v>46251</v>
      </c>
      <c r="V6" s="43">
        <f t="shared" si="3"/>
        <v>3</v>
      </c>
      <c r="W6" s="40">
        <v>46252</v>
      </c>
      <c r="X6" s="44">
        <f t="shared" si="4"/>
        <v>2</v>
      </c>
      <c r="Y6" s="44">
        <f t="shared" si="7"/>
        <v>16</v>
      </c>
      <c r="Z6" s="34" t="str">
        <f t="shared" si="8"/>
        <v>EFICIENTE</v>
      </c>
      <c r="AA6" s="32" t="s">
        <v>129</v>
      </c>
      <c r="AB6" s="32" t="s">
        <v>57</v>
      </c>
      <c r="AC6" s="32">
        <v>48.96</v>
      </c>
      <c r="AD6" s="32">
        <v>4</v>
      </c>
      <c r="AE6" s="32">
        <v>24</v>
      </c>
      <c r="AF6" s="32">
        <f t="shared" si="5"/>
        <v>2</v>
      </c>
      <c r="AG6" s="32">
        <f>18/24</f>
        <v>0.75</v>
      </c>
      <c r="AH6" s="37">
        <f t="shared" si="6"/>
        <v>46244</v>
      </c>
      <c r="AI6" s="32"/>
      <c r="AK6" s="55" t="s">
        <v>95</v>
      </c>
      <c r="AL6" s="32">
        <f>SUM(AL4:AL5)</f>
        <v>36</v>
      </c>
      <c r="AT6" s="55" t="s">
        <v>96</v>
      </c>
      <c r="AU6" s="32"/>
    </row>
    <row r="7" spans="1:47" ht="14.4" x14ac:dyDescent="0.3">
      <c r="A7" s="53" t="s">
        <v>138</v>
      </c>
      <c r="B7" s="32" t="s">
        <v>72</v>
      </c>
      <c r="C7" s="32" t="s">
        <v>46</v>
      </c>
      <c r="D7" s="32" t="s">
        <v>55</v>
      </c>
      <c r="E7" s="32" t="s">
        <v>60</v>
      </c>
      <c r="F7" s="34">
        <v>6000</v>
      </c>
      <c r="G7" s="34">
        <v>6434</v>
      </c>
      <c r="H7" s="32">
        <v>6000</v>
      </c>
      <c r="I7" s="34">
        <v>400</v>
      </c>
      <c r="J7" s="34">
        <v>80</v>
      </c>
      <c r="K7" s="34">
        <v>0.72</v>
      </c>
      <c r="L7" s="35">
        <f t="shared" si="0"/>
        <v>1.2433944668946224E-2</v>
      </c>
      <c r="M7" s="36">
        <v>0.8</v>
      </c>
      <c r="N7" s="38">
        <v>46239</v>
      </c>
      <c r="O7" s="38">
        <v>46240</v>
      </c>
      <c r="P7" s="38">
        <v>46249</v>
      </c>
      <c r="Q7" s="51">
        <v>46247</v>
      </c>
      <c r="R7" s="41">
        <f t="shared" si="1"/>
        <v>7</v>
      </c>
      <c r="S7" s="52">
        <v>46251</v>
      </c>
      <c r="T7" s="42">
        <f t="shared" si="2"/>
        <v>3</v>
      </c>
      <c r="U7" s="39">
        <v>46253</v>
      </c>
      <c r="V7" s="43">
        <f t="shared" si="3"/>
        <v>3</v>
      </c>
      <c r="W7" s="40">
        <v>46254</v>
      </c>
      <c r="X7" s="44">
        <f t="shared" si="4"/>
        <v>2</v>
      </c>
      <c r="Y7" s="44">
        <f t="shared" si="7"/>
        <v>12</v>
      </c>
      <c r="Z7" s="34" t="str">
        <f t="shared" si="8"/>
        <v>EFICIENTE</v>
      </c>
      <c r="AA7" s="32" t="s">
        <v>129</v>
      </c>
      <c r="AB7" s="32" t="s">
        <v>73</v>
      </c>
      <c r="AC7" s="32">
        <v>56.04</v>
      </c>
      <c r="AD7" s="32">
        <v>6</v>
      </c>
      <c r="AE7" s="32">
        <v>24</v>
      </c>
      <c r="AF7" s="32">
        <f t="shared" si="5"/>
        <v>1</v>
      </c>
      <c r="AG7" s="69">
        <f>32/24</f>
        <v>1.3333333333333333</v>
      </c>
      <c r="AH7" s="37">
        <f t="shared" si="6"/>
        <v>46251</v>
      </c>
      <c r="AI7" s="32"/>
    </row>
    <row r="8" spans="1:47" ht="14.4" x14ac:dyDescent="0.3">
      <c r="A8" s="61" t="s">
        <v>75</v>
      </c>
      <c r="B8" s="32" t="s">
        <v>76</v>
      </c>
      <c r="C8" s="32" t="s">
        <v>77</v>
      </c>
      <c r="D8" s="32" t="s">
        <v>41</v>
      </c>
      <c r="E8" s="32" t="s">
        <v>60</v>
      </c>
      <c r="F8" s="34">
        <v>3680</v>
      </c>
      <c r="G8" s="34">
        <v>4387</v>
      </c>
      <c r="H8" s="32">
        <v>4048</v>
      </c>
      <c r="I8" s="34" t="s">
        <v>125</v>
      </c>
      <c r="J8" s="34">
        <v>316</v>
      </c>
      <c r="K8" s="34">
        <v>1.71</v>
      </c>
      <c r="L8" s="35">
        <f t="shared" si="0"/>
        <v>7.2031000683838609E-2</v>
      </c>
      <c r="M8" s="36">
        <v>0.75</v>
      </c>
      <c r="N8" s="38">
        <v>46233</v>
      </c>
      <c r="O8" s="38">
        <v>46234</v>
      </c>
      <c r="P8" s="38">
        <v>46246</v>
      </c>
      <c r="Q8" s="51">
        <v>46239</v>
      </c>
      <c r="R8" s="41">
        <f t="shared" si="1"/>
        <v>5</v>
      </c>
      <c r="S8" s="52">
        <v>46251</v>
      </c>
      <c r="T8" s="42">
        <f t="shared" si="2"/>
        <v>9</v>
      </c>
      <c r="U8" s="39">
        <v>46254</v>
      </c>
      <c r="V8" s="43">
        <f t="shared" si="3"/>
        <v>4</v>
      </c>
      <c r="W8" s="40">
        <v>46254</v>
      </c>
      <c r="X8" s="44">
        <f t="shared" si="4"/>
        <v>1</v>
      </c>
      <c r="Y8" s="44">
        <f t="shared" si="7"/>
        <v>16</v>
      </c>
      <c r="Z8" s="34" t="str">
        <f t="shared" si="8"/>
        <v>EFICIENTE</v>
      </c>
      <c r="AA8" s="32" t="s">
        <v>129</v>
      </c>
      <c r="AB8" s="32" t="s">
        <v>57</v>
      </c>
      <c r="AC8" s="32">
        <v>23.76</v>
      </c>
      <c r="AD8" s="32">
        <v>4</v>
      </c>
      <c r="AE8" s="32">
        <v>24</v>
      </c>
      <c r="AF8" s="32">
        <f t="shared" si="5"/>
        <v>3</v>
      </c>
      <c r="AG8" s="32">
        <f>75/24</f>
        <v>3.125</v>
      </c>
      <c r="AH8" s="37">
        <f t="shared" si="6"/>
        <v>46251</v>
      </c>
      <c r="AI8" s="32"/>
    </row>
    <row r="9" spans="1:47" ht="14.4" x14ac:dyDescent="0.3">
      <c r="A9" s="53" t="s">
        <v>158</v>
      </c>
      <c r="B9" s="32" t="s">
        <v>111</v>
      </c>
      <c r="C9" s="32" t="s">
        <v>209</v>
      </c>
      <c r="D9" s="32" t="s">
        <v>55</v>
      </c>
      <c r="E9" s="32" t="s">
        <v>30</v>
      </c>
      <c r="F9" s="34">
        <f>13600+13600</f>
        <v>27200</v>
      </c>
      <c r="G9" s="34">
        <v>19497</v>
      </c>
      <c r="H9" s="32">
        <v>19400</v>
      </c>
      <c r="I9" s="34"/>
      <c r="J9" s="34"/>
      <c r="K9" s="34"/>
      <c r="L9" s="35">
        <f t="shared" si="0"/>
        <v>0</v>
      </c>
      <c r="M9" s="36">
        <v>0.62</v>
      </c>
      <c r="N9" s="38">
        <v>46234</v>
      </c>
      <c r="O9" s="38">
        <v>46237</v>
      </c>
      <c r="P9" s="38">
        <v>46252</v>
      </c>
      <c r="Q9" s="51">
        <v>46247</v>
      </c>
      <c r="R9" s="41">
        <f t="shared" si="1"/>
        <v>10</v>
      </c>
      <c r="S9" s="52"/>
      <c r="T9" s="42" t="str">
        <f t="shared" si="2"/>
        <v/>
      </c>
      <c r="U9" s="39"/>
      <c r="V9" s="43" t="str">
        <f t="shared" si="3"/>
        <v/>
      </c>
      <c r="W9" s="40">
        <v>46254</v>
      </c>
      <c r="X9" s="44">
        <f t="shared" si="4"/>
        <v>33039</v>
      </c>
      <c r="Y9" s="44">
        <f t="shared" si="7"/>
        <v>15</v>
      </c>
      <c r="Z9" s="34" t="str">
        <f t="shared" si="8"/>
        <v>EFICIENTE</v>
      </c>
      <c r="AA9" s="32" t="s">
        <v>212</v>
      </c>
      <c r="AB9" s="32" t="s">
        <v>159</v>
      </c>
      <c r="AC9" s="32">
        <v>84</v>
      </c>
      <c r="AD9" s="32">
        <v>6</v>
      </c>
      <c r="AE9" s="32">
        <v>24</v>
      </c>
      <c r="AF9" s="32">
        <f t="shared" si="5"/>
        <v>4</v>
      </c>
      <c r="AG9" s="32"/>
      <c r="AH9" s="37">
        <f t="shared" si="6"/>
        <v>46258</v>
      </c>
      <c r="AI9" s="32"/>
    </row>
    <row r="10" spans="1:47" ht="14.4" x14ac:dyDescent="0.3">
      <c r="A10" s="53" t="s">
        <v>163</v>
      </c>
      <c r="B10" s="32" t="s">
        <v>164</v>
      </c>
      <c r="C10" s="32" t="s">
        <v>132</v>
      </c>
      <c r="D10" s="32" t="s">
        <v>55</v>
      </c>
      <c r="E10" s="32" t="s">
        <v>30</v>
      </c>
      <c r="F10" s="34">
        <v>6000</v>
      </c>
      <c r="G10" s="34">
        <v>5873</v>
      </c>
      <c r="H10" s="32">
        <v>5800</v>
      </c>
      <c r="I10" s="34" t="s">
        <v>125</v>
      </c>
      <c r="J10" s="34">
        <v>48</v>
      </c>
      <c r="K10" s="34">
        <v>0.3</v>
      </c>
      <c r="L10" s="35">
        <f t="shared" si="0"/>
        <v>8.1729950621488162E-3</v>
      </c>
      <c r="M10" s="36">
        <v>0.87</v>
      </c>
      <c r="N10" s="38">
        <v>46234</v>
      </c>
      <c r="O10" s="38">
        <v>46234</v>
      </c>
      <c r="P10" s="38">
        <v>46254</v>
      </c>
      <c r="Q10" s="51">
        <v>46251</v>
      </c>
      <c r="R10" s="41">
        <f t="shared" si="1"/>
        <v>12</v>
      </c>
      <c r="S10" s="52">
        <v>46258</v>
      </c>
      <c r="T10" s="42">
        <f t="shared" si="2"/>
        <v>6</v>
      </c>
      <c r="U10" s="39">
        <v>46259</v>
      </c>
      <c r="V10" s="43">
        <f t="shared" si="3"/>
        <v>2</v>
      </c>
      <c r="W10" s="40">
        <v>46259</v>
      </c>
      <c r="X10" s="44">
        <f t="shared" si="4"/>
        <v>1</v>
      </c>
      <c r="Y10" s="44">
        <f t="shared" si="7"/>
        <v>18</v>
      </c>
      <c r="Z10" s="34" t="str">
        <f t="shared" si="8"/>
        <v>EFICIENTE</v>
      </c>
      <c r="AA10" s="32" t="s">
        <v>129</v>
      </c>
      <c r="AB10" s="32" t="s">
        <v>165</v>
      </c>
      <c r="AC10" s="32">
        <v>41.88</v>
      </c>
      <c r="AD10" s="32">
        <v>4</v>
      </c>
      <c r="AE10" s="32">
        <v>24</v>
      </c>
      <c r="AF10" s="32">
        <f t="shared" si="5"/>
        <v>2</v>
      </c>
      <c r="AG10" s="32">
        <f>40/24</f>
        <v>1.6666666666666667</v>
      </c>
      <c r="AH10" s="37">
        <f t="shared" si="6"/>
        <v>46258</v>
      </c>
      <c r="AI10" s="32"/>
    </row>
    <row r="11" spans="1:47" ht="14.4" x14ac:dyDescent="0.3">
      <c r="A11" s="53" t="s">
        <v>182</v>
      </c>
      <c r="B11" s="32" t="s">
        <v>145</v>
      </c>
      <c r="C11" s="32" t="s">
        <v>128</v>
      </c>
      <c r="D11" s="32" t="s">
        <v>55</v>
      </c>
      <c r="E11" s="32" t="s">
        <v>31</v>
      </c>
      <c r="F11" s="34">
        <v>4000</v>
      </c>
      <c r="G11" s="34">
        <v>3757</v>
      </c>
      <c r="H11" s="32">
        <v>3500</v>
      </c>
      <c r="I11" s="34">
        <v>57</v>
      </c>
      <c r="J11" s="34">
        <v>143</v>
      </c>
      <c r="K11" s="34">
        <v>0.53</v>
      </c>
      <c r="L11" s="35">
        <f t="shared" si="0"/>
        <v>3.8062283737024222E-2</v>
      </c>
      <c r="M11" s="36">
        <v>0.82</v>
      </c>
      <c r="N11" s="38">
        <v>46248</v>
      </c>
      <c r="O11" s="38">
        <v>46251</v>
      </c>
      <c r="P11" s="38">
        <v>46258</v>
      </c>
      <c r="Q11" s="51">
        <v>46255</v>
      </c>
      <c r="R11" s="41">
        <f t="shared" si="1"/>
        <v>6</v>
      </c>
      <c r="S11" s="52">
        <v>46258</v>
      </c>
      <c r="T11" s="42">
        <f t="shared" si="2"/>
        <v>2</v>
      </c>
      <c r="U11" s="39">
        <v>46259</v>
      </c>
      <c r="V11" s="43">
        <f t="shared" si="3"/>
        <v>2</v>
      </c>
      <c r="W11" s="40">
        <v>46259</v>
      </c>
      <c r="X11" s="44">
        <f t="shared" si="4"/>
        <v>1</v>
      </c>
      <c r="Y11" s="44">
        <f t="shared" si="7"/>
        <v>8</v>
      </c>
      <c r="Z11" s="34" t="str">
        <f t="shared" si="8"/>
        <v>EFICIENTE</v>
      </c>
      <c r="AA11" s="32" t="s">
        <v>129</v>
      </c>
      <c r="AB11" s="32" t="s">
        <v>183</v>
      </c>
      <c r="AC11" s="32">
        <v>49.32</v>
      </c>
      <c r="AD11" s="32">
        <v>6</v>
      </c>
      <c r="AE11" s="32">
        <v>24</v>
      </c>
      <c r="AF11" s="32">
        <f t="shared" si="5"/>
        <v>1</v>
      </c>
      <c r="AG11" s="32"/>
      <c r="AH11" s="37">
        <f t="shared" si="6"/>
        <v>46259</v>
      </c>
      <c r="AI11" s="32"/>
    </row>
    <row r="12" spans="1:47" ht="14.4" x14ac:dyDescent="0.3">
      <c r="A12" s="61" t="s">
        <v>116</v>
      </c>
      <c r="B12" s="32" t="s">
        <v>117</v>
      </c>
      <c r="C12" s="32" t="s">
        <v>40</v>
      </c>
      <c r="D12" s="32" t="s">
        <v>55</v>
      </c>
      <c r="E12" s="32" t="s">
        <v>60</v>
      </c>
      <c r="F12" s="34">
        <v>15000</v>
      </c>
      <c r="G12" s="34">
        <v>14195</v>
      </c>
      <c r="H12" s="32">
        <v>13650</v>
      </c>
      <c r="I12" s="34">
        <v>10076</v>
      </c>
      <c r="J12" s="34">
        <v>276</v>
      </c>
      <c r="K12" s="34">
        <v>0.8</v>
      </c>
      <c r="L12" s="35">
        <f t="shared" si="0"/>
        <v>1.9443466009158153E-2</v>
      </c>
      <c r="M12" s="36">
        <v>0.8</v>
      </c>
      <c r="N12" s="38">
        <v>46234</v>
      </c>
      <c r="O12" s="38">
        <v>46234</v>
      </c>
      <c r="P12" s="38">
        <v>46240</v>
      </c>
      <c r="Q12" s="51">
        <v>46241</v>
      </c>
      <c r="R12" s="41">
        <f t="shared" si="1"/>
        <v>6</v>
      </c>
      <c r="S12" s="52">
        <v>46253</v>
      </c>
      <c r="T12" s="42">
        <f t="shared" si="2"/>
        <v>9</v>
      </c>
      <c r="U12" s="39">
        <v>46255</v>
      </c>
      <c r="V12" s="43">
        <f t="shared" si="3"/>
        <v>3</v>
      </c>
      <c r="W12" s="40">
        <v>46255</v>
      </c>
      <c r="X12" s="44">
        <f t="shared" si="4"/>
        <v>1</v>
      </c>
      <c r="Y12" s="44">
        <f t="shared" si="7"/>
        <v>16</v>
      </c>
      <c r="Z12" s="34" t="str">
        <f t="shared" si="8"/>
        <v>EFICIENTE</v>
      </c>
      <c r="AA12" s="32" t="s">
        <v>129</v>
      </c>
      <c r="AB12" s="32" t="s">
        <v>57</v>
      </c>
      <c r="AC12" s="32">
        <v>47.52</v>
      </c>
      <c r="AD12" s="32">
        <v>6</v>
      </c>
      <c r="AE12" s="32">
        <v>24</v>
      </c>
      <c r="AF12" s="32">
        <f t="shared" si="5"/>
        <v>3</v>
      </c>
      <c r="AG12" s="32">
        <f>151/24</f>
        <v>6.291666666666667</v>
      </c>
      <c r="AH12" s="37">
        <f t="shared" si="6"/>
        <v>46245</v>
      </c>
      <c r="AI12" s="32"/>
    </row>
    <row r="13" spans="1:47" ht="14.4" x14ac:dyDescent="0.3">
      <c r="A13" s="53" t="s">
        <v>139</v>
      </c>
      <c r="B13" s="32" t="s">
        <v>140</v>
      </c>
      <c r="C13" s="32" t="s">
        <v>141</v>
      </c>
      <c r="D13" s="32" t="s">
        <v>64</v>
      </c>
      <c r="E13" s="32" t="s">
        <v>32</v>
      </c>
      <c r="F13" s="34">
        <v>2944</v>
      </c>
      <c r="G13" s="34">
        <v>1612</v>
      </c>
      <c r="H13" s="32">
        <v>2760</v>
      </c>
      <c r="I13" s="34" t="s">
        <v>125</v>
      </c>
      <c r="J13" s="34">
        <v>62</v>
      </c>
      <c r="K13" s="34">
        <v>3.71</v>
      </c>
      <c r="L13" s="35">
        <f t="shared" si="0"/>
        <v>3.8461538461538464E-2</v>
      </c>
      <c r="M13" s="36">
        <v>0.85</v>
      </c>
      <c r="N13" s="38">
        <v>46234</v>
      </c>
      <c r="O13" s="38">
        <v>46234</v>
      </c>
      <c r="P13" s="38">
        <v>46252</v>
      </c>
      <c r="Q13" s="51">
        <v>46247</v>
      </c>
      <c r="R13" s="41">
        <f t="shared" si="1"/>
        <v>10</v>
      </c>
      <c r="S13" s="52">
        <v>46260</v>
      </c>
      <c r="T13" s="42">
        <f t="shared" si="2"/>
        <v>10</v>
      </c>
      <c r="U13" s="39">
        <v>46273</v>
      </c>
      <c r="V13" s="43">
        <f t="shared" si="3"/>
        <v>10</v>
      </c>
      <c r="W13" s="40">
        <v>46238</v>
      </c>
      <c r="X13" s="44">
        <f t="shared" si="4"/>
        <v>-26</v>
      </c>
      <c r="Y13" s="44">
        <f t="shared" si="7"/>
        <v>3</v>
      </c>
      <c r="Z13" s="34" t="str">
        <f t="shared" si="8"/>
        <v>EFICIENTE</v>
      </c>
      <c r="AA13" s="32" t="s">
        <v>129</v>
      </c>
      <c r="AB13" s="32" t="s">
        <v>142</v>
      </c>
      <c r="AC13" s="32">
        <v>16.920000000000002</v>
      </c>
      <c r="AD13" s="32">
        <v>2</v>
      </c>
      <c r="AE13" s="32">
        <v>24</v>
      </c>
      <c r="AF13" s="32">
        <f t="shared" si="5"/>
        <v>5</v>
      </c>
      <c r="AG13" s="32"/>
      <c r="AH13" s="37">
        <f t="shared" si="6"/>
        <v>46259</v>
      </c>
      <c r="AI13" s="32"/>
    </row>
    <row r="14" spans="1:47" ht="14.4" x14ac:dyDescent="0.3">
      <c r="A14" s="53" t="s">
        <v>160</v>
      </c>
      <c r="B14" s="32" t="s">
        <v>72</v>
      </c>
      <c r="C14" s="32" t="s">
        <v>46</v>
      </c>
      <c r="D14" s="32" t="s">
        <v>55</v>
      </c>
      <c r="E14" s="32" t="s">
        <v>33</v>
      </c>
      <c r="F14" s="34">
        <v>36000</v>
      </c>
      <c r="G14" s="34">
        <v>29811</v>
      </c>
      <c r="H14" s="32">
        <v>22000</v>
      </c>
      <c r="I14" s="34" t="s">
        <v>125</v>
      </c>
      <c r="J14" s="34">
        <v>696</v>
      </c>
      <c r="K14" s="34">
        <v>6.27</v>
      </c>
      <c r="L14" s="35">
        <f t="shared" si="0"/>
        <v>2.3347086645868976E-2</v>
      </c>
      <c r="M14" s="36">
        <v>0.66</v>
      </c>
      <c r="N14" s="38">
        <v>46248</v>
      </c>
      <c r="O14" s="38">
        <v>46248</v>
      </c>
      <c r="P14" s="38">
        <v>46253</v>
      </c>
      <c r="Q14" s="51">
        <v>46251</v>
      </c>
      <c r="R14" s="41">
        <f t="shared" si="1"/>
        <v>2</v>
      </c>
      <c r="S14" s="52">
        <v>46262</v>
      </c>
      <c r="T14" s="42">
        <f t="shared" si="2"/>
        <v>10</v>
      </c>
      <c r="U14" s="39">
        <v>46262</v>
      </c>
      <c r="V14" s="43">
        <f t="shared" si="3"/>
        <v>1</v>
      </c>
      <c r="W14" s="40">
        <v>46262</v>
      </c>
      <c r="X14" s="44">
        <f t="shared" si="4"/>
        <v>1</v>
      </c>
      <c r="Y14" s="44">
        <f t="shared" si="7"/>
        <v>11</v>
      </c>
      <c r="Z14" s="34" t="str">
        <f t="shared" si="8"/>
        <v>EFICIENTE</v>
      </c>
      <c r="AA14" s="32" t="s">
        <v>129</v>
      </c>
      <c r="AB14" s="32" t="s">
        <v>73</v>
      </c>
      <c r="AC14" s="32">
        <v>56.04</v>
      </c>
      <c r="AD14" s="32">
        <v>6</v>
      </c>
      <c r="AE14" s="32">
        <v>24</v>
      </c>
      <c r="AF14" s="32">
        <f t="shared" si="5"/>
        <v>7</v>
      </c>
      <c r="AG14" s="32"/>
      <c r="AH14" s="37">
        <f t="shared" si="6"/>
        <v>46262</v>
      </c>
      <c r="AI14" s="32"/>
    </row>
    <row r="15" spans="1:47" ht="14.4" x14ac:dyDescent="0.3">
      <c r="A15" s="61" t="s">
        <v>168</v>
      </c>
      <c r="B15" s="32" t="s">
        <v>169</v>
      </c>
      <c r="C15" s="32" t="s">
        <v>170</v>
      </c>
      <c r="D15" s="32" t="s">
        <v>55</v>
      </c>
      <c r="E15" s="32" t="s">
        <v>32</v>
      </c>
      <c r="F15" s="34">
        <v>4000</v>
      </c>
      <c r="G15" s="34">
        <v>3767</v>
      </c>
      <c r="H15" s="32">
        <v>3350</v>
      </c>
      <c r="I15" s="34">
        <v>45</v>
      </c>
      <c r="J15" s="34">
        <v>481</v>
      </c>
      <c r="K15" s="34">
        <v>6.36</v>
      </c>
      <c r="L15" s="35">
        <f t="shared" ref="L15:L20" si="9">+J15/G15</f>
        <v>0.1276878152375896</v>
      </c>
      <c r="M15" s="36">
        <v>0.59</v>
      </c>
      <c r="N15" s="38">
        <v>46245</v>
      </c>
      <c r="O15" s="38">
        <v>46247</v>
      </c>
      <c r="P15" s="38">
        <v>46262</v>
      </c>
      <c r="Q15" s="51">
        <v>46253</v>
      </c>
      <c r="R15" s="41">
        <f t="shared" ref="R15:R20" si="10">IF(Q15="","",NETWORKDAYS(N15,Q15))</f>
        <v>7</v>
      </c>
      <c r="S15" s="52">
        <v>46265</v>
      </c>
      <c r="T15" s="42">
        <f t="shared" ref="T15:T20" si="11">IF(S15="","",NETWORKDAYS(Q15,S15))</f>
        <v>9</v>
      </c>
      <c r="U15" s="39">
        <v>46272</v>
      </c>
      <c r="V15" s="43">
        <f t="shared" ref="V15:V20" si="12">IF(U15="","",NETWORKDAYS(S15,U15))</f>
        <v>6</v>
      </c>
      <c r="W15" s="40">
        <v>46272</v>
      </c>
      <c r="X15" s="44">
        <f t="shared" ref="X15:X20" si="13">IF(W15="","",NETWORKDAYS(U15,W15))</f>
        <v>1</v>
      </c>
      <c r="Y15" s="44">
        <f t="shared" ref="Y15:Y20" si="14">IF(W15="","",NETWORKDAYS(N15,W15))</f>
        <v>20</v>
      </c>
      <c r="Z15" s="34" t="str">
        <f>IF(Y15="","",IF(Y15&lt;=20,"EFICIENTE","NO EFICIENTE"))</f>
        <v>EFICIENTE</v>
      </c>
      <c r="AA15" s="32" t="s">
        <v>129</v>
      </c>
      <c r="AB15" s="32" t="s">
        <v>171</v>
      </c>
      <c r="AC15" s="32">
        <v>31.56</v>
      </c>
      <c r="AD15" s="32">
        <v>4</v>
      </c>
      <c r="AE15" s="32">
        <v>24</v>
      </c>
      <c r="AF15" s="32">
        <f t="shared" ref="AF15:AF20" si="15">ROUNDUP((F15*1/(AC15*AD15*M15*AE15)),0)</f>
        <v>3</v>
      </c>
      <c r="AG15" s="32"/>
      <c r="AH15" s="37">
        <f t="shared" ref="AH15:AH20" si="16">WORKDAY.INTL(P15,AF15,1,0)</f>
        <v>46267</v>
      </c>
      <c r="AI15" s="32" t="s">
        <v>213</v>
      </c>
    </row>
    <row r="16" spans="1:47" ht="14.4" x14ac:dyDescent="0.3">
      <c r="A16" s="61" t="s">
        <v>173</v>
      </c>
      <c r="B16" s="32" t="s">
        <v>174</v>
      </c>
      <c r="C16" s="32" t="s">
        <v>104</v>
      </c>
      <c r="D16" s="32" t="s">
        <v>64</v>
      </c>
      <c r="E16" s="32" t="s">
        <v>33</v>
      </c>
      <c r="F16" s="34">
        <v>5300</v>
      </c>
      <c r="G16" s="34">
        <v>3108</v>
      </c>
      <c r="H16" s="32">
        <v>4483</v>
      </c>
      <c r="I16" s="34" t="s">
        <v>125</v>
      </c>
      <c r="J16" s="34">
        <v>923.47</v>
      </c>
      <c r="K16" s="34">
        <v>4.53</v>
      </c>
      <c r="L16" s="35">
        <f t="shared" si="9"/>
        <v>0.29712676962676965</v>
      </c>
      <c r="M16" s="36">
        <v>0.74</v>
      </c>
      <c r="N16" s="38">
        <v>46246</v>
      </c>
      <c r="O16" s="38">
        <v>46246</v>
      </c>
      <c r="P16" s="38">
        <v>46258</v>
      </c>
      <c r="Q16" s="51">
        <v>46253</v>
      </c>
      <c r="R16" s="41">
        <f t="shared" si="10"/>
        <v>6</v>
      </c>
      <c r="S16" s="52">
        <v>46262</v>
      </c>
      <c r="T16" s="42">
        <f t="shared" si="11"/>
        <v>8</v>
      </c>
      <c r="U16" s="39">
        <v>46266</v>
      </c>
      <c r="V16" s="43">
        <f t="shared" si="12"/>
        <v>3</v>
      </c>
      <c r="W16" s="40">
        <v>46266</v>
      </c>
      <c r="X16" s="44">
        <f t="shared" si="13"/>
        <v>1</v>
      </c>
      <c r="Y16" s="44">
        <f t="shared" si="14"/>
        <v>15</v>
      </c>
      <c r="Z16" s="34" t="str">
        <f>IF(Y16="","",IF(Y16&lt;=20,"EFICIENTE","NO EFICIENTE"))</f>
        <v>EFICIENTE</v>
      </c>
      <c r="AA16" s="32" t="s">
        <v>129</v>
      </c>
      <c r="AB16" s="32" t="s">
        <v>105</v>
      </c>
      <c r="AC16" s="32">
        <v>14.04</v>
      </c>
      <c r="AD16" s="32">
        <v>6</v>
      </c>
      <c r="AE16" s="32">
        <v>24</v>
      </c>
      <c r="AF16" s="32">
        <f t="shared" si="15"/>
        <v>4</v>
      </c>
      <c r="AG16" s="32">
        <f>93/24</f>
        <v>3.875</v>
      </c>
      <c r="AH16" s="37">
        <f t="shared" si="16"/>
        <v>46262</v>
      </c>
      <c r="AI16" s="32"/>
    </row>
    <row r="17" spans="1:47" ht="14.4" x14ac:dyDescent="0.3">
      <c r="A17" s="61" t="s">
        <v>200</v>
      </c>
      <c r="B17" s="32" t="s">
        <v>203</v>
      </c>
      <c r="C17" s="32" t="s">
        <v>201</v>
      </c>
      <c r="D17" s="32" t="s">
        <v>55</v>
      </c>
      <c r="E17" s="32" t="s">
        <v>32</v>
      </c>
      <c r="F17" s="34">
        <v>8000</v>
      </c>
      <c r="G17" s="34">
        <v>7896</v>
      </c>
      <c r="H17" s="32">
        <v>7900</v>
      </c>
      <c r="I17" s="34">
        <v>97</v>
      </c>
      <c r="J17" s="34">
        <v>351</v>
      </c>
      <c r="K17" s="34">
        <v>1.23</v>
      </c>
      <c r="L17" s="35">
        <f t="shared" si="9"/>
        <v>4.4452887537993924E-2</v>
      </c>
      <c r="M17" s="36">
        <v>0.89</v>
      </c>
      <c r="N17" s="38">
        <v>46248</v>
      </c>
      <c r="O17" s="38">
        <v>46249</v>
      </c>
      <c r="P17" s="38">
        <v>46265</v>
      </c>
      <c r="Q17" s="51">
        <v>46261</v>
      </c>
      <c r="R17" s="41">
        <f t="shared" si="10"/>
        <v>10</v>
      </c>
      <c r="S17" s="52">
        <v>46266</v>
      </c>
      <c r="T17" s="42">
        <f t="shared" si="11"/>
        <v>4</v>
      </c>
      <c r="U17" s="39">
        <v>46268</v>
      </c>
      <c r="V17" s="43">
        <f t="shared" si="12"/>
        <v>3</v>
      </c>
      <c r="W17" s="40">
        <v>46269</v>
      </c>
      <c r="X17" s="44">
        <f t="shared" si="13"/>
        <v>2</v>
      </c>
      <c r="Y17" s="44">
        <f t="shared" si="14"/>
        <v>16</v>
      </c>
      <c r="Z17" s="34" t="str">
        <f>IF(Y17="","",IF(Y17&lt;=20,"EFICIENTE","NO EFICIENTE"))</f>
        <v>EFICIENTE</v>
      </c>
      <c r="AA17" s="32" t="s">
        <v>129</v>
      </c>
      <c r="AB17" s="32" t="s">
        <v>204</v>
      </c>
      <c r="AC17" s="32">
        <v>42.96</v>
      </c>
      <c r="AD17" s="32">
        <v>6</v>
      </c>
      <c r="AE17" s="32">
        <v>24</v>
      </c>
      <c r="AF17" s="32">
        <f t="shared" si="15"/>
        <v>2</v>
      </c>
      <c r="AG17" s="32"/>
      <c r="AH17" s="37">
        <f t="shared" si="16"/>
        <v>46267</v>
      </c>
      <c r="AI17" s="32"/>
    </row>
    <row r="18" spans="1:47" ht="14.4" x14ac:dyDescent="0.3">
      <c r="A18" s="61" t="s">
        <v>207</v>
      </c>
      <c r="B18" s="32" t="s">
        <v>167</v>
      </c>
      <c r="C18" s="32" t="s">
        <v>71</v>
      </c>
      <c r="D18" s="32" t="s">
        <v>55</v>
      </c>
      <c r="E18" s="32" t="s">
        <v>60</v>
      </c>
      <c r="F18" s="34">
        <v>5000</v>
      </c>
      <c r="G18" s="34">
        <v>4834</v>
      </c>
      <c r="H18" s="32">
        <v>4725</v>
      </c>
      <c r="I18" s="34" t="s">
        <v>125</v>
      </c>
      <c r="J18" s="34">
        <v>75</v>
      </c>
      <c r="K18" s="34">
        <v>1.84</v>
      </c>
      <c r="L18" s="35">
        <f t="shared" si="9"/>
        <v>1.551510136532892E-2</v>
      </c>
      <c r="M18" s="36">
        <v>1</v>
      </c>
      <c r="N18" s="38">
        <v>46252</v>
      </c>
      <c r="O18" s="38">
        <v>46254</v>
      </c>
      <c r="P18" s="38">
        <v>46267</v>
      </c>
      <c r="Q18" s="51">
        <v>46266</v>
      </c>
      <c r="R18" s="41">
        <f t="shared" si="10"/>
        <v>11</v>
      </c>
      <c r="S18" s="52">
        <v>46269</v>
      </c>
      <c r="T18" s="42">
        <f t="shared" si="11"/>
        <v>4</v>
      </c>
      <c r="U18" s="39">
        <v>46272</v>
      </c>
      <c r="V18" s="43">
        <f t="shared" si="12"/>
        <v>2</v>
      </c>
      <c r="W18" s="40">
        <v>46273</v>
      </c>
      <c r="X18" s="44">
        <f t="shared" si="13"/>
        <v>2</v>
      </c>
      <c r="Y18" s="44">
        <f t="shared" si="14"/>
        <v>16</v>
      </c>
      <c r="Z18" s="34" t="str">
        <f t="shared" ref="Z18:Z22" si="17">IF(Y18="","",IF(Y18&lt;=20,"EFICIENTE","NO EFICIENTE"))</f>
        <v>EFICIENTE</v>
      </c>
      <c r="AA18" s="32" t="s">
        <v>129</v>
      </c>
      <c r="AB18" s="32" t="s">
        <v>68</v>
      </c>
      <c r="AC18" s="32">
        <v>47.64</v>
      </c>
      <c r="AD18" s="32">
        <v>4</v>
      </c>
      <c r="AE18" s="32">
        <v>24</v>
      </c>
      <c r="AF18" s="32">
        <f t="shared" si="15"/>
        <v>2</v>
      </c>
      <c r="AG18" s="32"/>
      <c r="AH18" s="37">
        <f t="shared" si="16"/>
        <v>46269</v>
      </c>
      <c r="AI18" s="32"/>
    </row>
    <row r="19" spans="1:47" ht="14.4" x14ac:dyDescent="0.3">
      <c r="A19" s="61" t="s">
        <v>179</v>
      </c>
      <c r="B19" s="32" t="s">
        <v>79</v>
      </c>
      <c r="C19" s="32" t="s">
        <v>180</v>
      </c>
      <c r="D19" s="32" t="s">
        <v>64</v>
      </c>
      <c r="E19" s="32" t="s">
        <v>32</v>
      </c>
      <c r="F19" s="34">
        <v>10476</v>
      </c>
      <c r="G19" s="34">
        <v>7762</v>
      </c>
      <c r="H19" s="32"/>
      <c r="I19" s="34" t="s">
        <v>125</v>
      </c>
      <c r="J19" s="34"/>
      <c r="K19" s="34"/>
      <c r="L19" s="35">
        <f t="shared" si="9"/>
        <v>0</v>
      </c>
      <c r="M19" s="36">
        <v>0.77</v>
      </c>
      <c r="N19" s="38">
        <v>46246</v>
      </c>
      <c r="O19" s="38">
        <v>46247</v>
      </c>
      <c r="P19" s="38">
        <v>46258</v>
      </c>
      <c r="Q19" s="51">
        <v>46255</v>
      </c>
      <c r="R19" s="41">
        <f t="shared" si="10"/>
        <v>8</v>
      </c>
      <c r="S19" s="52">
        <v>46272</v>
      </c>
      <c r="T19" s="42">
        <f t="shared" si="11"/>
        <v>12</v>
      </c>
      <c r="U19" s="39">
        <v>46269</v>
      </c>
      <c r="V19" s="43">
        <f t="shared" si="12"/>
        <v>-2</v>
      </c>
      <c r="W19" s="40">
        <v>46266</v>
      </c>
      <c r="X19" s="44">
        <f t="shared" si="13"/>
        <v>-4</v>
      </c>
      <c r="Y19" s="44">
        <f t="shared" si="14"/>
        <v>15</v>
      </c>
      <c r="Z19" s="34" t="str">
        <f t="shared" si="17"/>
        <v>EFICIENTE</v>
      </c>
      <c r="AA19" s="32" t="s">
        <v>129</v>
      </c>
      <c r="AB19" s="32" t="s">
        <v>81</v>
      </c>
      <c r="AC19" s="32">
        <v>19.440000000000001</v>
      </c>
      <c r="AD19" s="32">
        <v>6</v>
      </c>
      <c r="AE19" s="32">
        <v>24</v>
      </c>
      <c r="AF19" s="32">
        <f t="shared" si="15"/>
        <v>5</v>
      </c>
      <c r="AG19" s="32"/>
      <c r="AH19" s="37">
        <f t="shared" si="16"/>
        <v>46265</v>
      </c>
      <c r="AI19" s="32"/>
    </row>
    <row r="20" spans="1:47" ht="14.4" x14ac:dyDescent="0.3">
      <c r="A20" s="61" t="s">
        <v>205</v>
      </c>
      <c r="B20" s="32" t="s">
        <v>206</v>
      </c>
      <c r="C20" s="32" t="s">
        <v>202</v>
      </c>
      <c r="D20" s="32" t="s">
        <v>55</v>
      </c>
      <c r="E20" s="32" t="s">
        <v>60</v>
      </c>
      <c r="F20" s="34">
        <v>6000</v>
      </c>
      <c r="G20" s="34">
        <v>6435</v>
      </c>
      <c r="H20" s="32">
        <v>6825</v>
      </c>
      <c r="I20" s="34" t="s">
        <v>125</v>
      </c>
      <c r="J20" s="34">
        <v>278</v>
      </c>
      <c r="K20" s="34">
        <v>12.01</v>
      </c>
      <c r="L20" s="35">
        <f t="shared" si="9"/>
        <v>4.3201243201243203E-2</v>
      </c>
      <c r="M20" s="36">
        <v>0.62</v>
      </c>
      <c r="N20" s="38">
        <v>46252</v>
      </c>
      <c r="O20" s="38">
        <v>46254</v>
      </c>
      <c r="P20" s="38">
        <v>46265</v>
      </c>
      <c r="Q20" s="51">
        <v>46265</v>
      </c>
      <c r="R20" s="41">
        <f t="shared" si="10"/>
        <v>10</v>
      </c>
      <c r="S20" s="52">
        <v>46268</v>
      </c>
      <c r="T20" s="42">
        <f t="shared" si="11"/>
        <v>4</v>
      </c>
      <c r="U20" s="39">
        <v>46273</v>
      </c>
      <c r="V20" s="43">
        <f t="shared" si="12"/>
        <v>4</v>
      </c>
      <c r="W20" s="40">
        <v>46275</v>
      </c>
      <c r="X20" s="44">
        <f t="shared" si="13"/>
        <v>3</v>
      </c>
      <c r="Y20" s="44">
        <f t="shared" si="14"/>
        <v>18</v>
      </c>
      <c r="Z20" s="34" t="str">
        <f t="shared" si="17"/>
        <v>EFICIENTE</v>
      </c>
      <c r="AA20" s="32" t="s">
        <v>129</v>
      </c>
      <c r="AB20" s="32" t="s">
        <v>68</v>
      </c>
      <c r="AC20" s="32">
        <v>30.16</v>
      </c>
      <c r="AD20" s="32">
        <v>4</v>
      </c>
      <c r="AE20" s="32">
        <v>24</v>
      </c>
      <c r="AF20" s="32">
        <f t="shared" si="15"/>
        <v>4</v>
      </c>
      <c r="AG20" s="32">
        <f>67/24</f>
        <v>2.7916666666666665</v>
      </c>
      <c r="AH20" s="37">
        <f t="shared" si="16"/>
        <v>46269</v>
      </c>
      <c r="AI20" s="32"/>
    </row>
    <row r="21" spans="1:47" ht="14.4" x14ac:dyDescent="0.3">
      <c r="A21" s="61" t="s">
        <v>181</v>
      </c>
      <c r="B21" s="32" t="s">
        <v>177</v>
      </c>
      <c r="C21" s="32" t="s">
        <v>195</v>
      </c>
      <c r="D21" s="32" t="s">
        <v>93</v>
      </c>
      <c r="E21" s="32" t="s">
        <v>60</v>
      </c>
      <c r="F21" s="34">
        <f>5000+5000</f>
        <v>10000</v>
      </c>
      <c r="G21" s="34">
        <v>7995</v>
      </c>
      <c r="H21" s="32">
        <v>4792</v>
      </c>
      <c r="I21" s="34">
        <f>1448+1213</f>
        <v>2661</v>
      </c>
      <c r="J21" s="34">
        <v>227</v>
      </c>
      <c r="K21" s="34">
        <v>6.59</v>
      </c>
      <c r="L21" s="35">
        <f>+J21/G21</f>
        <v>2.8392745465916198E-2</v>
      </c>
      <c r="M21" s="36">
        <v>0.98</v>
      </c>
      <c r="N21" s="38">
        <v>46239</v>
      </c>
      <c r="O21" s="38">
        <v>46240</v>
      </c>
      <c r="P21" s="38">
        <v>46258</v>
      </c>
      <c r="Q21" s="51">
        <v>46246</v>
      </c>
      <c r="R21" s="41">
        <f>IF(Q21="","",NETWORKDAYS(N21,Q21))</f>
        <v>6</v>
      </c>
      <c r="S21" s="52">
        <v>46266</v>
      </c>
      <c r="T21" s="42">
        <f>IF(S21="","",NETWORKDAYS(Q21,S21))</f>
        <v>15</v>
      </c>
      <c r="U21" s="39">
        <v>46266</v>
      </c>
      <c r="V21" s="43">
        <f>IF(U21="","",NETWORKDAYS(S21,U21))</f>
        <v>1</v>
      </c>
      <c r="W21" s="40">
        <v>46266</v>
      </c>
      <c r="X21" s="44">
        <f>IF(W21="","",NETWORKDAYS(U21,W21))</f>
        <v>1</v>
      </c>
      <c r="Y21" s="44">
        <f>IF(W21="","",NETWORKDAYS(N21,W21))</f>
        <v>20</v>
      </c>
      <c r="Z21" s="34" t="str">
        <f>IF(Y21="","",IF(Y21&lt;=20,"EFICIENTE","NO EFICIENTE"))</f>
        <v>EFICIENTE</v>
      </c>
      <c r="AA21" s="32" t="s">
        <v>129</v>
      </c>
      <c r="AB21" s="32" t="s">
        <v>178</v>
      </c>
      <c r="AC21" s="32">
        <v>24.96</v>
      </c>
      <c r="AD21" s="32">
        <v>6</v>
      </c>
      <c r="AE21" s="32">
        <v>24</v>
      </c>
      <c r="AF21" s="32">
        <f>ROUNDUP((F21*1/(AC21*AD21*M21*AE21)),0)</f>
        <v>3</v>
      </c>
      <c r="AG21" s="69">
        <f>122/24</f>
        <v>5.083333333333333</v>
      </c>
      <c r="AH21" s="37">
        <f>WORKDAY.INTL(P21,AF21,1,0)</f>
        <v>46261</v>
      </c>
      <c r="AI21" s="32" t="s">
        <v>225</v>
      </c>
    </row>
    <row r="22" spans="1:47" ht="14.4" x14ac:dyDescent="0.3">
      <c r="A22" s="53" t="s">
        <v>198</v>
      </c>
      <c r="B22" s="32" t="s">
        <v>167</v>
      </c>
      <c r="C22" s="32" t="s">
        <v>208</v>
      </c>
      <c r="D22" s="32" t="s">
        <v>55</v>
      </c>
      <c r="E22" s="32" t="s">
        <v>60</v>
      </c>
      <c r="F22" s="34">
        <v>3000</v>
      </c>
      <c r="G22" s="34">
        <v>4682</v>
      </c>
      <c r="H22" s="32">
        <v>4500</v>
      </c>
      <c r="I22" s="34">
        <f>41+29</f>
        <v>70</v>
      </c>
      <c r="J22" s="34">
        <v>149</v>
      </c>
      <c r="K22" s="34">
        <v>255</v>
      </c>
      <c r="L22" s="35">
        <f>+J22/G22</f>
        <v>3.1824006834686031E-2</v>
      </c>
      <c r="M22" s="36">
        <v>0.71</v>
      </c>
      <c r="N22" s="38">
        <v>46252</v>
      </c>
      <c r="O22" s="38">
        <v>46254</v>
      </c>
      <c r="P22" s="38">
        <v>46265</v>
      </c>
      <c r="Q22" s="51">
        <v>46261</v>
      </c>
      <c r="R22" s="41">
        <f>IF(Q22="","",NETWORKDAYS(N22,Q22))</f>
        <v>8</v>
      </c>
      <c r="S22" s="52">
        <v>46272</v>
      </c>
      <c r="T22" s="42">
        <f>IF(S22="","",NETWORKDAYS(Q22,S22))</f>
        <v>8</v>
      </c>
      <c r="U22" s="39">
        <v>46272</v>
      </c>
      <c r="V22" s="43">
        <f>IF(U22="","",NETWORKDAYS(S22,U22))</f>
        <v>1</v>
      </c>
      <c r="W22" s="40">
        <v>46273</v>
      </c>
      <c r="X22" s="44">
        <f>IF(W22="","",NETWORKDAYS(U22,W22))</f>
        <v>2</v>
      </c>
      <c r="Y22" s="44">
        <f>IF(W22="","",NETWORKDAYS(N22,W22))</f>
        <v>16</v>
      </c>
      <c r="Z22" s="34" t="str">
        <f t="shared" si="17"/>
        <v>EFICIENTE</v>
      </c>
      <c r="AA22" s="32" t="s">
        <v>129</v>
      </c>
      <c r="AB22" s="32" t="s">
        <v>199</v>
      </c>
      <c r="AC22" s="32">
        <v>26.88</v>
      </c>
      <c r="AD22" s="32">
        <v>4</v>
      </c>
      <c r="AE22" s="32">
        <v>24</v>
      </c>
      <c r="AF22" s="32">
        <f>ROUNDUP((F22*1/(AC22*AD22*M22*AE22)),0)</f>
        <v>2</v>
      </c>
      <c r="AG22" s="32"/>
      <c r="AH22" s="37">
        <f>WORKDAY.INTL(P22,AF22,1,0)</f>
        <v>46267</v>
      </c>
      <c r="AI22" s="32"/>
    </row>
    <row r="23" spans="1:47" ht="14.4" x14ac:dyDescent="0.3">
      <c r="A23" s="61" t="s">
        <v>107</v>
      </c>
      <c r="B23" s="32" t="s">
        <v>108</v>
      </c>
      <c r="C23" s="32" t="s">
        <v>106</v>
      </c>
      <c r="D23" s="32" t="s">
        <v>41</v>
      </c>
      <c r="E23" s="32" t="s">
        <v>60</v>
      </c>
      <c r="F23" s="34">
        <v>14000</v>
      </c>
      <c r="G23" s="34">
        <v>4699</v>
      </c>
      <c r="H23" s="32"/>
      <c r="I23" s="34"/>
      <c r="J23" s="34"/>
      <c r="K23" s="34"/>
      <c r="L23" s="35">
        <f>+J23/G23</f>
        <v>0</v>
      </c>
      <c r="M23" s="36">
        <v>0.82</v>
      </c>
      <c r="N23" s="38">
        <v>46199</v>
      </c>
      <c r="O23" s="38">
        <v>46199</v>
      </c>
      <c r="P23" s="38">
        <v>46199</v>
      </c>
      <c r="Q23" s="51">
        <v>46239</v>
      </c>
      <c r="R23" s="41">
        <f>IF(Q23="","",NETWORKDAYS(N23,Q23))</f>
        <v>29</v>
      </c>
      <c r="S23" s="52">
        <v>46255</v>
      </c>
      <c r="T23" s="42">
        <f>IF(S23="","",NETWORKDAYS(Q23,S23))</f>
        <v>13</v>
      </c>
      <c r="U23" s="39"/>
      <c r="V23" s="43" t="str">
        <f>IF(U23="","",NETWORKDAYS(S23,U23))</f>
        <v/>
      </c>
      <c r="W23" s="40"/>
      <c r="X23" s="44" t="str">
        <f>IF(W23="","",NETWORKDAYS(U23,W23))</f>
        <v/>
      </c>
      <c r="Y23" s="44" t="str">
        <f>IF(W23="","",NETWORKDAYS(N23,W23))</f>
        <v/>
      </c>
      <c r="Z23" s="74" t="str">
        <f>IF(AG23="","",IF(AG23&lt;=AF23,"EFICIENTE","NO EFICIENTE"))</f>
        <v>EFICIENTE</v>
      </c>
      <c r="AA23" s="32" t="s">
        <v>42</v>
      </c>
      <c r="AB23" s="32" t="s">
        <v>105</v>
      </c>
      <c r="AC23" s="32">
        <v>13.2</v>
      </c>
      <c r="AD23" s="32">
        <v>6</v>
      </c>
      <c r="AE23" s="32">
        <v>24</v>
      </c>
      <c r="AF23" s="32">
        <f>ROUNDUP((F23*1/(AC23*AD23*M23*AE23)),0)</f>
        <v>9</v>
      </c>
      <c r="AG23" s="32">
        <v>8</v>
      </c>
      <c r="AH23" s="37">
        <f>WORKDAY.INTL(P23,AF23,1,0)</f>
        <v>46212</v>
      </c>
      <c r="AI23" s="32"/>
    </row>
    <row r="24" spans="1:47" ht="14.4" x14ac:dyDescent="0.3">
      <c r="A24" s="61" t="s">
        <v>113</v>
      </c>
      <c r="B24" s="32" t="s">
        <v>114</v>
      </c>
      <c r="C24" s="32" t="s">
        <v>115</v>
      </c>
      <c r="D24" s="32" t="s">
        <v>41</v>
      </c>
      <c r="E24" s="32" t="s">
        <v>33</v>
      </c>
      <c r="F24" s="34">
        <v>11000</v>
      </c>
      <c r="G24" s="34">
        <v>7474</v>
      </c>
      <c r="H24" s="32"/>
      <c r="I24" s="34"/>
      <c r="J24" s="34"/>
      <c r="K24" s="34"/>
      <c r="L24" s="35">
        <f>+J24/G24</f>
        <v>0</v>
      </c>
      <c r="M24" s="36">
        <v>0.67</v>
      </c>
      <c r="N24" s="38">
        <v>46199</v>
      </c>
      <c r="O24" s="38">
        <v>46199</v>
      </c>
      <c r="P24" s="38">
        <v>46246</v>
      </c>
      <c r="Q24" s="51">
        <v>46224</v>
      </c>
      <c r="R24" s="41">
        <f>IF(Q24="","",NETWORKDAYS(N24,Q24))</f>
        <v>18</v>
      </c>
      <c r="S24" s="52">
        <v>46255</v>
      </c>
      <c r="T24" s="42">
        <f>IF(S24="","",NETWORKDAYS(Q24,S24))</f>
        <v>24</v>
      </c>
      <c r="U24" s="39"/>
      <c r="V24" s="43" t="str">
        <f>IF(U24="","",NETWORKDAYS(S24,U24))</f>
        <v/>
      </c>
      <c r="W24" s="40"/>
      <c r="X24" s="44" t="str">
        <f>IF(W24="","",NETWORKDAYS(U24,W24))</f>
        <v/>
      </c>
      <c r="Y24" s="44" t="str">
        <f>IF(W24="","",NETWORKDAYS(N24,W24))</f>
        <v/>
      </c>
      <c r="Z24" s="74" t="str">
        <f>IF(AG24="","",IF(AG24&lt;=AF24,"EFICIENTE","NO EFICIENTE"))</f>
        <v>EFICIENTE</v>
      </c>
      <c r="AA24" s="32" t="s">
        <v>42</v>
      </c>
      <c r="AB24" s="32" t="s">
        <v>105</v>
      </c>
      <c r="AC24" s="32">
        <v>13.32</v>
      </c>
      <c r="AD24" s="32">
        <v>6</v>
      </c>
      <c r="AE24" s="32">
        <v>24</v>
      </c>
      <c r="AF24" s="32">
        <f>ROUNDUP((F24*1/(AC24*AD24*M24*AE24)),0)</f>
        <v>9</v>
      </c>
      <c r="AG24" s="32">
        <v>8</v>
      </c>
      <c r="AH24" s="37">
        <f>WORKDAY.INTL(P24,AF24,1,0)</f>
        <v>46259</v>
      </c>
      <c r="AI24" s="32"/>
    </row>
    <row r="25" spans="1:47" ht="14.4" x14ac:dyDescent="0.3">
      <c r="A25" s="53" t="s">
        <v>143</v>
      </c>
      <c r="B25" s="32" t="s">
        <v>151</v>
      </c>
      <c r="C25" s="32" t="s">
        <v>152</v>
      </c>
      <c r="D25" s="32" t="s">
        <v>41</v>
      </c>
      <c r="E25" s="32" t="s">
        <v>33</v>
      </c>
      <c r="F25" s="34">
        <v>8000</v>
      </c>
      <c r="G25" s="34">
        <v>8676</v>
      </c>
      <c r="H25" s="32">
        <v>7605</v>
      </c>
      <c r="I25" s="34"/>
      <c r="J25" s="34">
        <v>54</v>
      </c>
      <c r="K25" s="34">
        <v>3.1</v>
      </c>
      <c r="L25" s="35">
        <f t="shared" si="0"/>
        <v>6.2240663900414933E-3</v>
      </c>
      <c r="M25" s="36">
        <v>0.65</v>
      </c>
      <c r="N25" s="38">
        <v>46241</v>
      </c>
      <c r="O25" s="38">
        <v>46241</v>
      </c>
      <c r="P25" s="38">
        <v>46251</v>
      </c>
      <c r="Q25" s="51">
        <v>46245</v>
      </c>
      <c r="R25" s="41">
        <f t="shared" si="1"/>
        <v>3</v>
      </c>
      <c r="S25" s="52">
        <v>46259</v>
      </c>
      <c r="T25" s="42">
        <f t="shared" si="2"/>
        <v>11</v>
      </c>
      <c r="U25" s="39">
        <v>46266</v>
      </c>
      <c r="V25" s="43">
        <f t="shared" si="3"/>
        <v>6</v>
      </c>
      <c r="W25" s="40">
        <v>46266</v>
      </c>
      <c r="X25" s="44">
        <f t="shared" si="4"/>
        <v>1</v>
      </c>
      <c r="Y25" s="44">
        <f t="shared" si="7"/>
        <v>18</v>
      </c>
      <c r="Z25" s="74" t="str">
        <f>IF(AG25="","",IF(AG25&lt;=AF25,"EFICIENTE","NO EFICIENTE"))</f>
        <v>EFICIENTE</v>
      </c>
      <c r="AA25" s="32" t="s">
        <v>129</v>
      </c>
      <c r="AB25" s="32" t="s">
        <v>105</v>
      </c>
      <c r="AC25" s="32">
        <v>14.76</v>
      </c>
      <c r="AD25" s="32">
        <v>8</v>
      </c>
      <c r="AE25" s="32">
        <v>24</v>
      </c>
      <c r="AF25" s="32">
        <f t="shared" si="5"/>
        <v>5</v>
      </c>
      <c r="AG25" s="32">
        <v>5</v>
      </c>
      <c r="AH25" s="37">
        <f t="shared" si="6"/>
        <v>46258</v>
      </c>
      <c r="AI25" s="32"/>
    </row>
    <row r="26" spans="1:47" ht="14.4" x14ac:dyDescent="0.3">
      <c r="A26" s="61" t="s">
        <v>172</v>
      </c>
      <c r="B26" s="32" t="s">
        <v>133</v>
      </c>
      <c r="C26" s="32" t="s">
        <v>134</v>
      </c>
      <c r="D26" s="32" t="s">
        <v>64</v>
      </c>
      <c r="E26" s="32" t="s">
        <v>33</v>
      </c>
      <c r="F26" s="34">
        <v>10000</v>
      </c>
      <c r="G26" s="34">
        <v>13352</v>
      </c>
      <c r="H26" s="32">
        <v>12357</v>
      </c>
      <c r="I26" s="34"/>
      <c r="J26" s="34">
        <v>85</v>
      </c>
      <c r="K26" s="34">
        <v>1.23</v>
      </c>
      <c r="L26" s="35">
        <f>+J26/G26</f>
        <v>6.3660874775314557E-3</v>
      </c>
      <c r="M26" s="36">
        <v>0.98</v>
      </c>
      <c r="N26" s="38">
        <v>46199</v>
      </c>
      <c r="O26" s="38">
        <v>46175</v>
      </c>
      <c r="P26" s="38">
        <v>46255</v>
      </c>
      <c r="Q26" s="51">
        <v>46254</v>
      </c>
      <c r="R26" s="41">
        <f>IF(Q26="","",NETWORKDAYS(N26,Q26))</f>
        <v>40</v>
      </c>
      <c r="S26" s="52">
        <v>46262</v>
      </c>
      <c r="T26" s="42">
        <f>IF(S26="","",NETWORKDAYS(Q26,S26))</f>
        <v>7</v>
      </c>
      <c r="U26" s="39">
        <v>46265</v>
      </c>
      <c r="V26" s="43">
        <f>IF(U26="","",NETWORKDAYS(S26,U26))</f>
        <v>2</v>
      </c>
      <c r="W26" s="40">
        <v>46265</v>
      </c>
      <c r="X26" s="44">
        <f>IF(W26="","",NETWORKDAYS(U26,W26))</f>
        <v>1</v>
      </c>
      <c r="Y26" s="44">
        <f>IF(W26="","",NETWORKDAYS(N26,W26))</f>
        <v>47</v>
      </c>
      <c r="Z26" s="74" t="str">
        <f>IF(AG26="","",IF(AG26&lt;=AF26,"EFICIENTE","NO EFICIENTE"))</f>
        <v>EFICIENTE</v>
      </c>
      <c r="AA26" s="32" t="s">
        <v>129</v>
      </c>
      <c r="AB26" s="32" t="s">
        <v>105</v>
      </c>
      <c r="AC26" s="32">
        <v>13.56</v>
      </c>
      <c r="AD26" s="32">
        <v>8</v>
      </c>
      <c r="AE26" s="32">
        <v>24</v>
      </c>
      <c r="AF26" s="32">
        <f>ROUNDUP((F26*1/(AC26*AD26*M26*AE26)),0)</f>
        <v>4</v>
      </c>
      <c r="AG26" s="32">
        <v>4</v>
      </c>
      <c r="AH26" s="37">
        <f>WORKDAY.INTL(P26,AF26,1,0)</f>
        <v>46261</v>
      </c>
      <c r="AI26" s="32" t="s">
        <v>283</v>
      </c>
    </row>
    <row r="27" spans="1:47" ht="14.4" x14ac:dyDescent="0.3">
      <c r="A27" s="61" t="s">
        <v>102</v>
      </c>
      <c r="B27" s="32" t="s">
        <v>103</v>
      </c>
      <c r="C27" s="32" t="s">
        <v>104</v>
      </c>
      <c r="D27" s="32" t="s">
        <v>41</v>
      </c>
      <c r="E27" s="32" t="s">
        <v>33</v>
      </c>
      <c r="F27" s="34">
        <v>8000</v>
      </c>
      <c r="G27" s="34">
        <v>7854</v>
      </c>
      <c r="H27" s="32">
        <v>7361</v>
      </c>
      <c r="I27" s="34"/>
      <c r="J27" s="34">
        <v>153.24</v>
      </c>
      <c r="K27" s="34">
        <v>2.61</v>
      </c>
      <c r="L27" s="35">
        <f>+J27/G27</f>
        <v>1.9511077158135982E-2</v>
      </c>
      <c r="M27" s="36">
        <v>0.77</v>
      </c>
      <c r="N27" s="38">
        <v>46076</v>
      </c>
      <c r="O27" s="38">
        <v>46078</v>
      </c>
      <c r="P27" s="38">
        <v>46245</v>
      </c>
      <c r="Q27" s="51">
        <v>46118</v>
      </c>
      <c r="R27" s="41">
        <f>IF(Q27="","",NETWORKDAYS(N27,Q27))</f>
        <v>31</v>
      </c>
      <c r="S27" s="52">
        <v>46254</v>
      </c>
      <c r="T27" s="42">
        <f>IF(S27="","",NETWORKDAYS(Q27,S27))</f>
        <v>99</v>
      </c>
      <c r="U27" s="39">
        <v>46260</v>
      </c>
      <c r="V27" s="43">
        <f>IF(U27="","",NETWORKDAYS(S27,U27))</f>
        <v>5</v>
      </c>
      <c r="W27" s="40">
        <v>46260</v>
      </c>
      <c r="X27" s="44">
        <f>IF(W27="","",NETWORKDAYS(U27,W27))</f>
        <v>1</v>
      </c>
      <c r="Y27" s="44">
        <f>IF(W27="","",NETWORKDAYS(N27,W27))</f>
        <v>133</v>
      </c>
      <c r="Z27" s="74" t="str">
        <f>IF(AG27="","",IF(AG27&lt;=AF27,"EFICIENTE","NO EFICIENTE"))</f>
        <v>EFICIENTE</v>
      </c>
      <c r="AA27" s="32" t="s">
        <v>129</v>
      </c>
      <c r="AB27" s="32" t="s">
        <v>105</v>
      </c>
      <c r="AC27" s="32">
        <v>14.88</v>
      </c>
      <c r="AD27" s="32">
        <v>6</v>
      </c>
      <c r="AE27" s="32">
        <v>24</v>
      </c>
      <c r="AF27" s="32">
        <f>ROUNDUP((F27*1/(AC27*AD27*M27*AE27)),0)</f>
        <v>5</v>
      </c>
      <c r="AG27" s="32">
        <v>5</v>
      </c>
      <c r="AH27" s="37">
        <f>WORKDAY.INTL(P27,AF27,1,0)</f>
        <v>46252</v>
      </c>
      <c r="AI27" s="32" t="s">
        <v>283</v>
      </c>
    </row>
    <row r="28" spans="1:47" ht="14.4" customHeight="1" x14ac:dyDescent="0.3">
      <c r="A28" s="61" t="s">
        <v>50</v>
      </c>
      <c r="B28" s="32" t="s">
        <v>82</v>
      </c>
      <c r="C28" s="32" t="s">
        <v>150</v>
      </c>
      <c r="D28" s="32" t="s">
        <v>55</v>
      </c>
      <c r="E28" s="32" t="s">
        <v>31</v>
      </c>
      <c r="F28" s="34">
        <v>6000</v>
      </c>
      <c r="G28" s="34">
        <v>4713</v>
      </c>
      <c r="H28" s="32">
        <v>4600</v>
      </c>
      <c r="I28" s="34" t="s">
        <v>125</v>
      </c>
      <c r="J28" s="34">
        <v>521</v>
      </c>
      <c r="K28" s="34">
        <v>16.46</v>
      </c>
      <c r="L28" s="35">
        <f>+J28/G28</f>
        <v>0.11054530023339698</v>
      </c>
      <c r="M28" s="36">
        <v>0.62</v>
      </c>
      <c r="N28" s="38">
        <v>46177</v>
      </c>
      <c r="O28" s="38">
        <v>46177</v>
      </c>
      <c r="P28" s="38">
        <v>46178</v>
      </c>
      <c r="Q28" s="51">
        <v>46241</v>
      </c>
      <c r="R28" s="41">
        <f>IF(Q28="","",NETWORKDAYS(N28,Q28))</f>
        <v>47</v>
      </c>
      <c r="S28" s="52">
        <v>46247</v>
      </c>
      <c r="T28" s="42">
        <f>IF(S28="","",NETWORKDAYS(Q28,S28))</f>
        <v>5</v>
      </c>
      <c r="U28" s="39">
        <v>46251</v>
      </c>
      <c r="V28" s="43">
        <f>IF(U28="","",NETWORKDAYS(S28,U28))</f>
        <v>3</v>
      </c>
      <c r="W28" s="40">
        <v>46251</v>
      </c>
      <c r="X28" s="44">
        <f>IF(W28="","",NETWORKDAYS(U28,W28))</f>
        <v>1</v>
      </c>
      <c r="Y28" s="44">
        <f>IF(W28="","",NETWORKDAYS(N28,W28))</f>
        <v>53</v>
      </c>
      <c r="Z28" s="34" t="str">
        <f>IF(Y28="","",IF(Y28&lt;=20,"EFICIENTE","NO EFICIENTE"))</f>
        <v>NO EFICIENTE</v>
      </c>
      <c r="AA28" s="32" t="s">
        <v>129</v>
      </c>
      <c r="AB28" s="32" t="s">
        <v>68</v>
      </c>
      <c r="AC28" s="32">
        <v>34.799999999999997</v>
      </c>
      <c r="AD28" s="32">
        <v>4</v>
      </c>
      <c r="AE28" s="32">
        <v>24</v>
      </c>
      <c r="AF28" s="32">
        <f>ROUNDUP((F28*1/(AC28*AD28*M28*AE28)),0)</f>
        <v>3</v>
      </c>
      <c r="AG28" s="69">
        <v>3</v>
      </c>
      <c r="AH28" s="37">
        <f>WORKDAY.INTL(P28,AF28,1,0)</f>
        <v>46183</v>
      </c>
      <c r="AI28" s="32" t="s">
        <v>284</v>
      </c>
    </row>
    <row r="29" spans="1:47" ht="14.4" x14ac:dyDescent="0.3">
      <c r="A29" s="61" t="s">
        <v>130</v>
      </c>
      <c r="B29" s="32" t="s">
        <v>131</v>
      </c>
      <c r="C29" s="32" t="s">
        <v>132</v>
      </c>
      <c r="D29" s="32" t="s">
        <v>55</v>
      </c>
      <c r="E29" s="32" t="s">
        <v>60</v>
      </c>
      <c r="F29" s="34">
        <v>1500</v>
      </c>
      <c r="G29" s="34">
        <v>1333</v>
      </c>
      <c r="H29" s="32">
        <v>1300</v>
      </c>
      <c r="I29" s="34">
        <v>35</v>
      </c>
      <c r="J29" s="34">
        <v>128</v>
      </c>
      <c r="K29" s="34">
        <v>1</v>
      </c>
      <c r="L29" s="35">
        <f t="shared" si="0"/>
        <v>9.6024006001500378E-2</v>
      </c>
      <c r="M29" s="36">
        <v>0.8</v>
      </c>
      <c r="N29" s="38">
        <v>46216</v>
      </c>
      <c r="O29" s="38">
        <v>46216</v>
      </c>
      <c r="P29" s="38">
        <v>46224</v>
      </c>
      <c r="Q29" s="51">
        <v>46238</v>
      </c>
      <c r="R29" s="41">
        <f t="shared" si="1"/>
        <v>17</v>
      </c>
      <c r="S29" s="52">
        <v>46245</v>
      </c>
      <c r="T29" s="42">
        <f t="shared" si="2"/>
        <v>6</v>
      </c>
      <c r="U29" s="39">
        <v>46247</v>
      </c>
      <c r="V29" s="43">
        <f t="shared" si="3"/>
        <v>3</v>
      </c>
      <c r="W29" s="40">
        <v>46252</v>
      </c>
      <c r="X29" s="44">
        <f t="shared" si="4"/>
        <v>4</v>
      </c>
      <c r="Y29" s="44">
        <f t="shared" si="7"/>
        <v>27</v>
      </c>
      <c r="Z29" s="34" t="str">
        <f t="shared" ref="Z29:Z45" si="18">IF(Y29="","",IF(Y29&lt;=20,"EFICIENTE","NO EFICIENTE"))</f>
        <v>NO EFICIENTE</v>
      </c>
      <c r="AA29" s="32" t="s">
        <v>129</v>
      </c>
      <c r="AB29" s="32" t="s">
        <v>57</v>
      </c>
      <c r="AC29" s="32">
        <v>41.88</v>
      </c>
      <c r="AD29" s="32">
        <v>4</v>
      </c>
      <c r="AE29" s="32">
        <v>24</v>
      </c>
      <c r="AF29" s="32">
        <f t="shared" si="5"/>
        <v>1</v>
      </c>
      <c r="AG29" s="69">
        <f>8.5/11</f>
        <v>0.77272727272727271</v>
      </c>
      <c r="AH29" s="37">
        <f t="shared" si="6"/>
        <v>46225</v>
      </c>
      <c r="AI29" s="32" t="s">
        <v>227</v>
      </c>
    </row>
    <row r="30" spans="1:47" ht="14.4" x14ac:dyDescent="0.3">
      <c r="A30" s="61" t="s">
        <v>45</v>
      </c>
      <c r="B30" s="32" t="s">
        <v>69</v>
      </c>
      <c r="C30" s="32" t="s">
        <v>44</v>
      </c>
      <c r="D30" s="32" t="s">
        <v>41</v>
      </c>
      <c r="E30" s="32" t="s">
        <v>33</v>
      </c>
      <c r="F30" s="34">
        <v>3680</v>
      </c>
      <c r="G30" s="34">
        <v>3572</v>
      </c>
      <c r="H30" s="21">
        <v>3404</v>
      </c>
      <c r="I30" s="21">
        <v>30</v>
      </c>
      <c r="J30" s="21">
        <v>357</v>
      </c>
      <c r="K30" s="21">
        <v>11.65</v>
      </c>
      <c r="L30" s="35">
        <f t="shared" si="0"/>
        <v>9.994400895856663E-2</v>
      </c>
      <c r="M30" s="36">
        <v>0.86</v>
      </c>
      <c r="N30" s="37">
        <v>46213</v>
      </c>
      <c r="O30" s="38">
        <v>46213</v>
      </c>
      <c r="P30" s="38">
        <v>46234</v>
      </c>
      <c r="Q30" s="51">
        <v>46226</v>
      </c>
      <c r="R30" s="41">
        <f t="shared" si="1"/>
        <v>10</v>
      </c>
      <c r="S30" s="52">
        <v>46239</v>
      </c>
      <c r="T30" s="42">
        <f t="shared" si="2"/>
        <v>10</v>
      </c>
      <c r="U30" s="39">
        <v>46251</v>
      </c>
      <c r="V30" s="43">
        <f t="shared" si="3"/>
        <v>9</v>
      </c>
      <c r="W30" s="40">
        <v>46253</v>
      </c>
      <c r="X30" s="44">
        <f t="shared" si="4"/>
        <v>3</v>
      </c>
      <c r="Y30" s="44">
        <f t="shared" si="7"/>
        <v>29</v>
      </c>
      <c r="Z30" s="34" t="str">
        <f t="shared" si="18"/>
        <v>NO EFICIENTE</v>
      </c>
      <c r="AA30" s="33" t="s">
        <v>129</v>
      </c>
      <c r="AB30" s="33" t="s">
        <v>83</v>
      </c>
      <c r="AC30" s="34">
        <v>16.8</v>
      </c>
      <c r="AD30" s="32">
        <v>6</v>
      </c>
      <c r="AE30" s="32">
        <v>24</v>
      </c>
      <c r="AF30" s="32">
        <f t="shared" si="5"/>
        <v>2</v>
      </c>
      <c r="AG30" s="32">
        <f>76/24</f>
        <v>3.1666666666666665</v>
      </c>
      <c r="AH30" s="37">
        <f t="shared" si="6"/>
        <v>46238</v>
      </c>
      <c r="AI30" s="32" t="s">
        <v>229</v>
      </c>
      <c r="AT30" s="173" t="s">
        <v>94</v>
      </c>
      <c r="AU30" s="174"/>
    </row>
    <row r="31" spans="1:47" ht="14.4" x14ac:dyDescent="0.3">
      <c r="A31" s="61" t="s">
        <v>78</v>
      </c>
      <c r="B31" s="32" t="s">
        <v>79</v>
      </c>
      <c r="C31" s="32" t="s">
        <v>80</v>
      </c>
      <c r="D31" s="32" t="s">
        <v>41</v>
      </c>
      <c r="E31" s="32" t="s">
        <v>32</v>
      </c>
      <c r="F31" s="34">
        <v>8280</v>
      </c>
      <c r="G31" s="34">
        <v>6911</v>
      </c>
      <c r="H31" s="32"/>
      <c r="I31" s="34"/>
      <c r="J31" s="34">
        <v>380</v>
      </c>
      <c r="K31" s="34">
        <v>7.85</v>
      </c>
      <c r="L31" s="35">
        <f t="shared" si="0"/>
        <v>5.4984806829691799E-2</v>
      </c>
      <c r="M31" s="36">
        <v>0.71</v>
      </c>
      <c r="N31" s="38">
        <v>46227</v>
      </c>
      <c r="O31" s="38">
        <v>46227</v>
      </c>
      <c r="P31" s="38">
        <v>46238</v>
      </c>
      <c r="Q31" s="51">
        <v>46234</v>
      </c>
      <c r="R31" s="41">
        <f t="shared" si="1"/>
        <v>6</v>
      </c>
      <c r="S31" s="52">
        <v>46253</v>
      </c>
      <c r="T31" s="42">
        <f t="shared" si="2"/>
        <v>14</v>
      </c>
      <c r="U31" s="39">
        <v>46255</v>
      </c>
      <c r="V31" s="43">
        <f t="shared" si="3"/>
        <v>3</v>
      </c>
      <c r="W31" s="40">
        <v>46259</v>
      </c>
      <c r="X31" s="44">
        <f t="shared" si="4"/>
        <v>3</v>
      </c>
      <c r="Y31" s="44">
        <f t="shared" si="7"/>
        <v>23</v>
      </c>
      <c r="Z31" s="34" t="str">
        <f t="shared" si="18"/>
        <v>NO EFICIENTE</v>
      </c>
      <c r="AA31" s="32" t="s">
        <v>129</v>
      </c>
      <c r="AB31" s="32" t="s">
        <v>81</v>
      </c>
      <c r="AC31" s="32">
        <v>19.440000000000001</v>
      </c>
      <c r="AD31" s="32">
        <v>6</v>
      </c>
      <c r="AE31" s="32">
        <v>24</v>
      </c>
      <c r="AF31" s="32">
        <f t="shared" si="5"/>
        <v>5</v>
      </c>
      <c r="AG31" s="32"/>
      <c r="AH31" s="37">
        <f t="shared" si="6"/>
        <v>46245</v>
      </c>
      <c r="AI31" s="32" t="s">
        <v>231</v>
      </c>
      <c r="AT31" s="59" t="s">
        <v>100</v>
      </c>
      <c r="AU31" s="32">
        <v>2</v>
      </c>
    </row>
    <row r="32" spans="1:47" ht="14.4" x14ac:dyDescent="0.3">
      <c r="A32" s="61" t="s">
        <v>121</v>
      </c>
      <c r="B32" s="32" t="s">
        <v>72</v>
      </c>
      <c r="C32" s="32" t="s">
        <v>46</v>
      </c>
      <c r="D32" s="32" t="s">
        <v>55</v>
      </c>
      <c r="E32" s="32" t="s">
        <v>32</v>
      </c>
      <c r="F32" s="34">
        <v>20000</v>
      </c>
      <c r="G32" s="34">
        <v>20433</v>
      </c>
      <c r="H32" s="32">
        <v>19000</v>
      </c>
      <c r="I32" s="34" t="s">
        <v>125</v>
      </c>
      <c r="J32" s="34">
        <v>699</v>
      </c>
      <c r="K32" s="34">
        <v>6.29</v>
      </c>
      <c r="L32" s="35">
        <f t="shared" si="0"/>
        <v>3.4209367200117455E-2</v>
      </c>
      <c r="M32" s="36">
        <v>0.94</v>
      </c>
      <c r="N32" s="38">
        <v>46206</v>
      </c>
      <c r="O32" s="38">
        <v>46206</v>
      </c>
      <c r="P32" s="38">
        <v>46245</v>
      </c>
      <c r="Q32" s="51">
        <v>46220</v>
      </c>
      <c r="R32" s="41">
        <f t="shared" si="1"/>
        <v>11</v>
      </c>
      <c r="S32" s="52">
        <v>46247</v>
      </c>
      <c r="T32" s="42">
        <f t="shared" si="2"/>
        <v>20</v>
      </c>
      <c r="U32" s="39">
        <v>46253</v>
      </c>
      <c r="V32" s="43">
        <f t="shared" si="3"/>
        <v>5</v>
      </c>
      <c r="W32" s="40">
        <v>46254</v>
      </c>
      <c r="X32" s="44">
        <f t="shared" si="4"/>
        <v>2</v>
      </c>
      <c r="Y32" s="44">
        <f t="shared" si="7"/>
        <v>35</v>
      </c>
      <c r="Z32" s="34" t="str">
        <f t="shared" si="18"/>
        <v>NO EFICIENTE</v>
      </c>
      <c r="AA32" s="32" t="s">
        <v>129</v>
      </c>
      <c r="AB32" s="32" t="s">
        <v>73</v>
      </c>
      <c r="AC32" s="32">
        <v>56.04</v>
      </c>
      <c r="AD32" s="32">
        <v>6</v>
      </c>
      <c r="AE32" s="32">
        <v>24</v>
      </c>
      <c r="AF32" s="69">
        <f t="shared" si="5"/>
        <v>3</v>
      </c>
      <c r="AG32" s="70">
        <f>86/24</f>
        <v>3.5833333333333335</v>
      </c>
      <c r="AH32" s="37">
        <f t="shared" si="6"/>
        <v>46248</v>
      </c>
      <c r="AI32" s="32" t="s">
        <v>226</v>
      </c>
    </row>
    <row r="33" spans="1:35" ht="14.4" x14ac:dyDescent="0.3">
      <c r="A33" s="61" t="s">
        <v>87</v>
      </c>
      <c r="B33" s="32" t="s">
        <v>88</v>
      </c>
      <c r="C33" s="32" t="s">
        <v>89</v>
      </c>
      <c r="D33" s="32" t="s">
        <v>55</v>
      </c>
      <c r="E33" s="32" t="s">
        <v>31</v>
      </c>
      <c r="F33" s="34">
        <v>6000</v>
      </c>
      <c r="G33" s="34">
        <v>5723</v>
      </c>
      <c r="H33" s="32">
        <v>5875</v>
      </c>
      <c r="I33" s="34"/>
      <c r="J33" s="34">
        <v>171</v>
      </c>
      <c r="K33" s="34">
        <v>7.57</v>
      </c>
      <c r="L33" s="35">
        <f t="shared" si="0"/>
        <v>2.9879433863358378E-2</v>
      </c>
      <c r="M33" s="36">
        <v>0.66</v>
      </c>
      <c r="N33" s="38">
        <v>46206</v>
      </c>
      <c r="O33" s="38">
        <v>46206</v>
      </c>
      <c r="P33" s="38">
        <v>46240</v>
      </c>
      <c r="Q33" s="51">
        <v>46240</v>
      </c>
      <c r="R33" s="41">
        <f t="shared" si="1"/>
        <v>25</v>
      </c>
      <c r="S33" s="52">
        <v>46248</v>
      </c>
      <c r="T33" s="42">
        <f t="shared" si="2"/>
        <v>7</v>
      </c>
      <c r="U33" s="39">
        <v>46248</v>
      </c>
      <c r="V33" s="43">
        <f t="shared" si="3"/>
        <v>1</v>
      </c>
      <c r="W33" s="40">
        <v>46254</v>
      </c>
      <c r="X33" s="44">
        <f t="shared" si="4"/>
        <v>5</v>
      </c>
      <c r="Y33" s="44">
        <f t="shared" si="7"/>
        <v>35</v>
      </c>
      <c r="Z33" s="34" t="str">
        <f t="shared" si="18"/>
        <v>NO EFICIENTE</v>
      </c>
      <c r="AA33" s="32" t="s">
        <v>129</v>
      </c>
      <c r="AB33" s="32" t="s">
        <v>90</v>
      </c>
      <c r="AC33" s="32">
        <v>38.159999999999997</v>
      </c>
      <c r="AD33" s="32">
        <v>4</v>
      </c>
      <c r="AE33" s="32">
        <v>24</v>
      </c>
      <c r="AF33" s="32">
        <f t="shared" si="5"/>
        <v>3</v>
      </c>
      <c r="AG33" s="69">
        <f>45.5/24</f>
        <v>1.8958333333333333</v>
      </c>
      <c r="AH33" s="37">
        <f t="shared" si="6"/>
        <v>46245</v>
      </c>
      <c r="AI33" s="32" t="s">
        <v>230</v>
      </c>
    </row>
    <row r="34" spans="1:35" ht="14.4" x14ac:dyDescent="0.3">
      <c r="A34" s="112" t="s">
        <v>161</v>
      </c>
      <c r="B34" s="32" t="s">
        <v>162</v>
      </c>
      <c r="C34" s="32" t="s">
        <v>89</v>
      </c>
      <c r="D34" s="32" t="s">
        <v>55</v>
      </c>
      <c r="E34" s="32" t="s">
        <v>33</v>
      </c>
      <c r="F34" s="34">
        <v>4000</v>
      </c>
      <c r="G34" s="34">
        <v>4830</v>
      </c>
      <c r="H34" s="32">
        <v>3850</v>
      </c>
      <c r="I34" s="34"/>
      <c r="J34" s="34">
        <v>179</v>
      </c>
      <c r="K34" s="34">
        <v>7.61</v>
      </c>
      <c r="L34" s="35">
        <f t="shared" si="0"/>
        <v>3.7060041407867492E-2</v>
      </c>
      <c r="M34" s="36">
        <v>0.7</v>
      </c>
      <c r="N34" s="38">
        <v>46206</v>
      </c>
      <c r="O34" s="38">
        <v>46206</v>
      </c>
      <c r="P34" s="38">
        <v>46252</v>
      </c>
      <c r="Q34" s="51">
        <v>46226</v>
      </c>
      <c r="R34" s="41">
        <f t="shared" si="1"/>
        <v>15</v>
      </c>
      <c r="S34" s="52">
        <v>46254</v>
      </c>
      <c r="T34" s="42">
        <f t="shared" si="2"/>
        <v>21</v>
      </c>
      <c r="U34" s="39">
        <v>46254</v>
      </c>
      <c r="V34" s="43">
        <f t="shared" si="3"/>
        <v>1</v>
      </c>
      <c r="W34" s="40">
        <v>46255</v>
      </c>
      <c r="X34" s="44">
        <f t="shared" si="4"/>
        <v>2</v>
      </c>
      <c r="Y34" s="44">
        <f t="shared" si="7"/>
        <v>36</v>
      </c>
      <c r="Z34" s="34" t="str">
        <f t="shared" si="18"/>
        <v>NO EFICIENTE</v>
      </c>
      <c r="AA34" s="32" t="s">
        <v>129</v>
      </c>
      <c r="AB34" s="32" t="s">
        <v>68</v>
      </c>
      <c r="AC34" s="32">
        <v>38.159999999999997</v>
      </c>
      <c r="AD34" s="32">
        <v>4</v>
      </c>
      <c r="AE34" s="32">
        <v>24</v>
      </c>
      <c r="AF34" s="32">
        <f t="shared" si="5"/>
        <v>2</v>
      </c>
      <c r="AG34" s="32"/>
      <c r="AH34" s="37">
        <f t="shared" si="6"/>
        <v>46254</v>
      </c>
      <c r="AI34" s="32" t="s">
        <v>232</v>
      </c>
    </row>
    <row r="35" spans="1:35" ht="14.4" x14ac:dyDescent="0.3">
      <c r="A35" s="61" t="s">
        <v>149</v>
      </c>
      <c r="B35" s="32" t="s">
        <v>82</v>
      </c>
      <c r="C35" s="32" t="s">
        <v>150</v>
      </c>
      <c r="D35" s="32" t="s">
        <v>55</v>
      </c>
      <c r="E35" s="32" t="s">
        <v>60</v>
      </c>
      <c r="F35" s="34">
        <v>1500</v>
      </c>
      <c r="G35" s="34">
        <v>1358</v>
      </c>
      <c r="H35" s="32">
        <v>1375</v>
      </c>
      <c r="I35" s="34">
        <v>21</v>
      </c>
      <c r="J35" s="34">
        <v>16</v>
      </c>
      <c r="K35" s="34">
        <v>0.51</v>
      </c>
      <c r="L35" s="35">
        <f t="shared" si="0"/>
        <v>1.1782032400589101E-2</v>
      </c>
      <c r="M35" s="36">
        <v>0.52</v>
      </c>
      <c r="N35" s="38">
        <v>46177</v>
      </c>
      <c r="O35" s="38">
        <v>46177</v>
      </c>
      <c r="P35" s="38">
        <v>46252</v>
      </c>
      <c r="Q35" s="51">
        <v>46237</v>
      </c>
      <c r="R35" s="41">
        <f t="shared" si="1"/>
        <v>43</v>
      </c>
      <c r="S35" s="52">
        <v>46253</v>
      </c>
      <c r="T35" s="42">
        <f t="shared" si="2"/>
        <v>13</v>
      </c>
      <c r="U35" s="39">
        <v>46259</v>
      </c>
      <c r="V35" s="43">
        <f t="shared" si="3"/>
        <v>5</v>
      </c>
      <c r="W35" s="40">
        <v>46260</v>
      </c>
      <c r="X35" s="44">
        <f t="shared" si="4"/>
        <v>2</v>
      </c>
      <c r="Y35" s="44">
        <f t="shared" si="7"/>
        <v>60</v>
      </c>
      <c r="Z35" s="34" t="str">
        <f t="shared" si="18"/>
        <v>NO EFICIENTE</v>
      </c>
      <c r="AA35" s="32" t="s">
        <v>129</v>
      </c>
      <c r="AB35" s="32" t="s">
        <v>68</v>
      </c>
      <c r="AC35" s="32">
        <v>34.799999999999997</v>
      </c>
      <c r="AD35" s="32">
        <v>2</v>
      </c>
      <c r="AE35" s="32">
        <v>24</v>
      </c>
      <c r="AF35" s="32">
        <f t="shared" si="5"/>
        <v>2</v>
      </c>
      <c r="AG35" s="66">
        <f>29/24</f>
        <v>1.2083333333333333</v>
      </c>
      <c r="AH35" s="37">
        <f t="shared" si="6"/>
        <v>46254</v>
      </c>
      <c r="AI35" s="32" t="s">
        <v>233</v>
      </c>
    </row>
    <row r="36" spans="1:35" ht="14.4" x14ac:dyDescent="0.3">
      <c r="A36" s="61" t="s">
        <v>166</v>
      </c>
      <c r="B36" s="32" t="s">
        <v>167</v>
      </c>
      <c r="C36" s="32" t="s">
        <v>71</v>
      </c>
      <c r="D36" s="32" t="s">
        <v>55</v>
      </c>
      <c r="E36" s="32" t="s">
        <v>30</v>
      </c>
      <c r="F36" s="34">
        <v>3000</v>
      </c>
      <c r="G36" s="34">
        <v>2900</v>
      </c>
      <c r="H36" s="32">
        <v>3350</v>
      </c>
      <c r="I36" s="34">
        <v>31</v>
      </c>
      <c r="J36" s="34">
        <v>216</v>
      </c>
      <c r="K36" s="34">
        <v>5.18</v>
      </c>
      <c r="L36" s="35">
        <f t="shared" si="0"/>
        <v>7.4482758620689649E-2</v>
      </c>
      <c r="M36" s="36">
        <v>0.46</v>
      </c>
      <c r="N36" s="38">
        <v>46177</v>
      </c>
      <c r="O36" s="38">
        <v>46177</v>
      </c>
      <c r="P36" s="38">
        <v>46254</v>
      </c>
      <c r="Q36" s="51">
        <v>46255</v>
      </c>
      <c r="R36" s="41">
        <f t="shared" si="1"/>
        <v>57</v>
      </c>
      <c r="S36" s="52">
        <v>46259</v>
      </c>
      <c r="T36" s="42">
        <f t="shared" si="2"/>
        <v>3</v>
      </c>
      <c r="U36" s="39">
        <v>46260</v>
      </c>
      <c r="V36" s="43">
        <f t="shared" si="3"/>
        <v>2</v>
      </c>
      <c r="W36" s="40">
        <v>46260</v>
      </c>
      <c r="X36" s="44">
        <f t="shared" si="4"/>
        <v>1</v>
      </c>
      <c r="Y36" s="44">
        <f t="shared" si="7"/>
        <v>60</v>
      </c>
      <c r="Z36" s="34" t="str">
        <f t="shared" si="18"/>
        <v>NO EFICIENTE</v>
      </c>
      <c r="AA36" s="32" t="s">
        <v>129</v>
      </c>
      <c r="AB36" s="32" t="s">
        <v>68</v>
      </c>
      <c r="AC36" s="32">
        <v>45.72</v>
      </c>
      <c r="AD36" s="32">
        <v>2</v>
      </c>
      <c r="AE36" s="32">
        <v>24</v>
      </c>
      <c r="AF36" s="32">
        <f t="shared" si="5"/>
        <v>3</v>
      </c>
      <c r="AG36" s="32">
        <f>72/24</f>
        <v>3</v>
      </c>
      <c r="AH36" s="37">
        <f t="shared" si="6"/>
        <v>46259</v>
      </c>
      <c r="AI36" s="32" t="s">
        <v>233</v>
      </c>
    </row>
    <row r="37" spans="1:35" ht="14.4" x14ac:dyDescent="0.3">
      <c r="A37" s="61" t="s">
        <v>263</v>
      </c>
      <c r="B37" s="32" t="s">
        <v>147</v>
      </c>
      <c r="C37" s="32" t="s">
        <v>71</v>
      </c>
      <c r="D37" s="32" t="s">
        <v>55</v>
      </c>
      <c r="E37" s="32" t="s">
        <v>30</v>
      </c>
      <c r="F37" s="34">
        <f>2000+1000</f>
        <v>3000</v>
      </c>
      <c r="G37" s="34">
        <v>3600</v>
      </c>
      <c r="H37" s="32">
        <v>3400</v>
      </c>
      <c r="I37" s="34">
        <v>42</v>
      </c>
      <c r="J37" s="34">
        <v>198</v>
      </c>
      <c r="K37" s="34">
        <v>2.2999999999999998</v>
      </c>
      <c r="L37" s="35">
        <f t="shared" si="0"/>
        <v>5.5E-2</v>
      </c>
      <c r="M37" s="36">
        <v>0.67</v>
      </c>
      <c r="N37" s="38">
        <v>46205</v>
      </c>
      <c r="O37" s="38">
        <v>46205</v>
      </c>
      <c r="P37" s="38">
        <v>46246</v>
      </c>
      <c r="Q37" s="51">
        <v>46234</v>
      </c>
      <c r="R37" s="41">
        <f t="shared" si="1"/>
        <v>22</v>
      </c>
      <c r="S37" s="52">
        <v>46248</v>
      </c>
      <c r="T37" s="42">
        <f t="shared" si="2"/>
        <v>11</v>
      </c>
      <c r="U37" s="39">
        <v>46253</v>
      </c>
      <c r="V37" s="43">
        <f t="shared" si="3"/>
        <v>4</v>
      </c>
      <c r="W37" s="40">
        <v>46254</v>
      </c>
      <c r="X37" s="44">
        <f t="shared" si="4"/>
        <v>2</v>
      </c>
      <c r="Y37" s="44">
        <f t="shared" si="7"/>
        <v>36</v>
      </c>
      <c r="Z37" s="34" t="str">
        <f t="shared" si="18"/>
        <v>NO EFICIENTE</v>
      </c>
      <c r="AA37" s="32" t="s">
        <v>129</v>
      </c>
      <c r="AB37" s="32" t="s">
        <v>148</v>
      </c>
      <c r="AC37" s="32">
        <v>45.72</v>
      </c>
      <c r="AD37" s="32">
        <v>4</v>
      </c>
      <c r="AE37" s="32">
        <v>24</v>
      </c>
      <c r="AF37" s="32">
        <f t="shared" si="5"/>
        <v>2</v>
      </c>
      <c r="AG37" s="32">
        <f>30/24</f>
        <v>1.25</v>
      </c>
      <c r="AH37" s="37">
        <f t="shared" si="6"/>
        <v>46248</v>
      </c>
      <c r="AI37" s="32" t="s">
        <v>228</v>
      </c>
    </row>
    <row r="38" spans="1:35" ht="14.4" x14ac:dyDescent="0.3">
      <c r="A38" s="61" t="s">
        <v>137</v>
      </c>
      <c r="B38" s="32" t="s">
        <v>135</v>
      </c>
      <c r="C38" s="32" t="s">
        <v>136</v>
      </c>
      <c r="D38" s="32" t="s">
        <v>64</v>
      </c>
      <c r="E38" s="32" t="s">
        <v>33</v>
      </c>
      <c r="F38" s="34">
        <f>8556+7130</f>
        <v>15686</v>
      </c>
      <c r="G38" s="34">
        <v>14751</v>
      </c>
      <c r="H38" s="32"/>
      <c r="I38" s="34"/>
      <c r="J38" s="34"/>
      <c r="K38" s="34"/>
      <c r="L38" s="35">
        <f>+J38/G38</f>
        <v>0</v>
      </c>
      <c r="M38" s="36">
        <v>0.91</v>
      </c>
      <c r="N38" s="38">
        <v>46177</v>
      </c>
      <c r="O38" s="38">
        <v>46181</v>
      </c>
      <c r="P38" s="38">
        <v>46252</v>
      </c>
      <c r="Q38" s="51">
        <v>46258</v>
      </c>
      <c r="R38" s="41">
        <f>IF(Q38="","",NETWORKDAYS(N38,Q38))</f>
        <v>58</v>
      </c>
      <c r="S38" s="52"/>
      <c r="T38" s="42" t="str">
        <f>IF(S38="","",NETWORKDAYS(Q38,S38))</f>
        <v/>
      </c>
      <c r="U38" s="39"/>
      <c r="V38" s="43" t="str">
        <f>IF(U38="","",NETWORKDAYS(S38,U38))</f>
        <v/>
      </c>
      <c r="W38" s="40"/>
      <c r="X38" s="44" t="str">
        <f>IF(W38="","",NETWORKDAYS(U38,W38))</f>
        <v/>
      </c>
      <c r="Y38" s="44" t="str">
        <f>IF(W38="","",NETWORKDAYS(N38,W38))</f>
        <v/>
      </c>
      <c r="Z38" s="34" t="str">
        <f t="shared" si="18"/>
        <v/>
      </c>
      <c r="AA38" s="32" t="s">
        <v>42</v>
      </c>
      <c r="AB38" s="32" t="s">
        <v>57</v>
      </c>
      <c r="AC38" s="32">
        <v>19.079999999999998</v>
      </c>
      <c r="AD38" s="32">
        <v>6</v>
      </c>
      <c r="AE38" s="32">
        <v>24</v>
      </c>
      <c r="AF38" s="32">
        <f>ROUNDUP((F38*1/(AC38*AD38*M38*AE38)),0)</f>
        <v>7</v>
      </c>
      <c r="AG38" s="32"/>
      <c r="AH38" s="37">
        <f>WORKDAY.INTL(P38,AF38,1,0)</f>
        <v>46261</v>
      </c>
      <c r="AI38" s="32" t="s">
        <v>282</v>
      </c>
    </row>
    <row r="39" spans="1:35" ht="14.4" x14ac:dyDescent="0.3">
      <c r="A39" s="61" t="s">
        <v>184</v>
      </c>
      <c r="B39" s="32" t="s">
        <v>185</v>
      </c>
      <c r="C39" s="32" t="s">
        <v>115</v>
      </c>
      <c r="D39" s="32" t="s">
        <v>64</v>
      </c>
      <c r="E39" s="32" t="s">
        <v>33</v>
      </c>
      <c r="F39" s="34">
        <v>9000</v>
      </c>
      <c r="G39" s="34">
        <v>10695</v>
      </c>
      <c r="H39" s="32"/>
      <c r="I39" s="34"/>
      <c r="J39" s="34"/>
      <c r="K39" s="34"/>
      <c r="L39" s="35">
        <f t="shared" ref="L39:L41" si="19">+J39/G39</f>
        <v>0</v>
      </c>
      <c r="M39" s="36">
        <v>0.71</v>
      </c>
      <c r="N39" s="38">
        <v>46252</v>
      </c>
      <c r="O39" s="38">
        <v>46254</v>
      </c>
      <c r="P39" s="38">
        <v>46261</v>
      </c>
      <c r="Q39" s="51">
        <v>46259</v>
      </c>
      <c r="R39" s="41">
        <f t="shared" ref="R39:R41" si="20">IF(Q39="","",NETWORKDAYS(N39,Q39))</f>
        <v>6</v>
      </c>
      <c r="S39" s="52">
        <v>46273</v>
      </c>
      <c r="T39" s="42">
        <f t="shared" ref="T39:T41" si="21">IF(S39="","",NETWORKDAYS(Q39,S39))</f>
        <v>11</v>
      </c>
      <c r="U39" s="39"/>
      <c r="V39" s="43" t="str">
        <f t="shared" ref="V39:V41" si="22">IF(U39="","",NETWORKDAYS(S39,U39))</f>
        <v/>
      </c>
      <c r="W39" s="40"/>
      <c r="X39" s="44" t="str">
        <f t="shared" ref="X39:X41" si="23">IF(W39="","",NETWORKDAYS(U39,W39))</f>
        <v/>
      </c>
      <c r="Y39" s="44" t="str">
        <f t="shared" ref="Y39:Y41" si="24">IF(W39="","",NETWORKDAYS(N39,W39))</f>
        <v/>
      </c>
      <c r="Z39" s="34" t="str">
        <f>IF(Y39="","",IF(Y39&lt;=20,"EFICIENTE","NO EFICIENTE"))</f>
        <v/>
      </c>
      <c r="AA39" s="32" t="s">
        <v>42</v>
      </c>
      <c r="AB39" s="32" t="s">
        <v>105</v>
      </c>
      <c r="AC39" s="32">
        <v>13.32</v>
      </c>
      <c r="AD39" s="32">
        <v>6</v>
      </c>
      <c r="AE39" s="32">
        <v>24</v>
      </c>
      <c r="AF39" s="32">
        <v>6</v>
      </c>
      <c r="AG39" s="32">
        <f>156/24</f>
        <v>6.5</v>
      </c>
      <c r="AH39" s="37">
        <f t="shared" ref="AH39:AH41" si="25">WORKDAY.INTL(P39,AF39,1,0)</f>
        <v>46269</v>
      </c>
      <c r="AI39" s="32"/>
    </row>
    <row r="40" spans="1:35" ht="14.4" x14ac:dyDescent="0.3">
      <c r="A40" s="61" t="s">
        <v>186</v>
      </c>
      <c r="B40" s="32" t="s">
        <v>185</v>
      </c>
      <c r="C40" s="32" t="s">
        <v>106</v>
      </c>
      <c r="D40" s="32" t="s">
        <v>41</v>
      </c>
      <c r="E40" s="32" t="s">
        <v>33</v>
      </c>
      <c r="F40" s="34">
        <v>9000</v>
      </c>
      <c r="G40" s="34">
        <v>9222</v>
      </c>
      <c r="H40" s="32"/>
      <c r="I40" s="34"/>
      <c r="J40" s="34"/>
      <c r="K40" s="34"/>
      <c r="L40" s="35">
        <f t="shared" si="19"/>
        <v>0</v>
      </c>
      <c r="M40" s="36">
        <v>0.71</v>
      </c>
      <c r="N40" s="38">
        <v>46252</v>
      </c>
      <c r="O40" s="38">
        <v>46254</v>
      </c>
      <c r="P40" s="38">
        <v>46260</v>
      </c>
      <c r="Q40" s="51">
        <v>46255</v>
      </c>
      <c r="R40" s="41">
        <f t="shared" si="20"/>
        <v>4</v>
      </c>
      <c r="S40" s="52">
        <v>46273</v>
      </c>
      <c r="T40" s="42">
        <f t="shared" si="21"/>
        <v>13</v>
      </c>
      <c r="U40" s="39"/>
      <c r="V40" s="43" t="str">
        <f t="shared" si="22"/>
        <v/>
      </c>
      <c r="W40" s="40"/>
      <c r="X40" s="44" t="str">
        <f t="shared" si="23"/>
        <v/>
      </c>
      <c r="Y40" s="44" t="str">
        <f t="shared" si="24"/>
        <v/>
      </c>
      <c r="Z40" s="34" t="str">
        <f>IF(Y40="","",IF(Y40&lt;=20,"EFICIENTE","NO EFICIENTE"))</f>
        <v/>
      </c>
      <c r="AA40" s="32" t="s">
        <v>42</v>
      </c>
      <c r="AB40" s="32" t="s">
        <v>105</v>
      </c>
      <c r="AC40" s="32">
        <v>13.2</v>
      </c>
      <c r="AD40" s="32">
        <v>6</v>
      </c>
      <c r="AE40" s="32">
        <v>24</v>
      </c>
      <c r="AF40" s="32">
        <f>ROUNDUP((F40*1/(AC40*AD40*M40*AE40)),0)</f>
        <v>7</v>
      </c>
      <c r="AG40" s="32">
        <f>156/24</f>
        <v>6.5</v>
      </c>
      <c r="AH40" s="37">
        <f t="shared" si="25"/>
        <v>46269</v>
      </c>
      <c r="AI40" s="32"/>
    </row>
    <row r="41" spans="1:35" ht="14.4" x14ac:dyDescent="0.3">
      <c r="A41" s="53" t="s">
        <v>190</v>
      </c>
      <c r="B41" s="32" t="s">
        <v>191</v>
      </c>
      <c r="C41" s="32" t="s">
        <v>71</v>
      </c>
      <c r="D41" s="32" t="s">
        <v>55</v>
      </c>
      <c r="E41" s="32" t="s">
        <v>31</v>
      </c>
      <c r="F41" s="34">
        <v>1500</v>
      </c>
      <c r="G41" s="34">
        <v>1350</v>
      </c>
      <c r="H41" s="32"/>
      <c r="I41" s="34"/>
      <c r="J41" s="34"/>
      <c r="K41" s="34"/>
      <c r="L41" s="35">
        <f t="shared" si="19"/>
        <v>0</v>
      </c>
      <c r="M41" s="36">
        <v>0.69</v>
      </c>
      <c r="N41" s="38">
        <v>46177</v>
      </c>
      <c r="O41" s="38">
        <v>46178</v>
      </c>
      <c r="P41" s="38">
        <v>46262</v>
      </c>
      <c r="Q41" s="51">
        <v>46265</v>
      </c>
      <c r="R41" s="41">
        <f t="shared" si="20"/>
        <v>63</v>
      </c>
      <c r="S41" s="52">
        <v>46273</v>
      </c>
      <c r="T41" s="42">
        <f t="shared" si="21"/>
        <v>7</v>
      </c>
      <c r="U41" s="39"/>
      <c r="V41" s="43" t="str">
        <f t="shared" si="22"/>
        <v/>
      </c>
      <c r="W41" s="40"/>
      <c r="X41" s="44" t="str">
        <f t="shared" si="23"/>
        <v/>
      </c>
      <c r="Y41" s="44" t="str">
        <f t="shared" si="24"/>
        <v/>
      </c>
      <c r="Z41" s="34" t="str">
        <f>IF(Y41="","",IF(Y41&lt;=20,"EFICIENTE","NO EFICIENTE"))</f>
        <v/>
      </c>
      <c r="AA41" s="32" t="s">
        <v>42</v>
      </c>
      <c r="AB41" s="32" t="s">
        <v>68</v>
      </c>
      <c r="AC41" s="32">
        <v>51.12</v>
      </c>
      <c r="AD41" s="32">
        <v>2</v>
      </c>
      <c r="AE41" s="32">
        <v>24</v>
      </c>
      <c r="AF41" s="32">
        <f>ROUNDUP((F41*1/(AC41*AD41*M41*AE41)),0)</f>
        <v>1</v>
      </c>
      <c r="AG41" s="32"/>
      <c r="AH41" s="37">
        <f t="shared" si="25"/>
        <v>46265</v>
      </c>
      <c r="AI41" s="32"/>
    </row>
    <row r="42" spans="1:35" ht="14.4" x14ac:dyDescent="0.3">
      <c r="A42" s="61" t="s">
        <v>51</v>
      </c>
      <c r="B42" s="32" t="s">
        <v>58</v>
      </c>
      <c r="C42" s="32" t="s">
        <v>52</v>
      </c>
      <c r="D42" s="32" t="s">
        <v>59</v>
      </c>
      <c r="E42" s="32" t="s">
        <v>60</v>
      </c>
      <c r="F42" s="34">
        <v>6000</v>
      </c>
      <c r="G42" s="34">
        <v>1316</v>
      </c>
      <c r="H42" s="32"/>
      <c r="I42" s="34"/>
      <c r="J42" s="34"/>
      <c r="K42" s="34"/>
      <c r="L42" s="35">
        <f t="shared" si="0"/>
        <v>0</v>
      </c>
      <c r="M42" s="36">
        <v>0</v>
      </c>
      <c r="N42" s="38">
        <v>46146</v>
      </c>
      <c r="O42" s="38">
        <v>46147</v>
      </c>
      <c r="P42" s="38">
        <v>46147</v>
      </c>
      <c r="Q42" s="51">
        <v>46251</v>
      </c>
      <c r="R42" s="41">
        <f t="shared" ref="R42:R50" si="26">IF(Q42="","",NETWORKDAYS(N42,Q42))</f>
        <v>76</v>
      </c>
      <c r="S42" s="52"/>
      <c r="T42" s="42" t="str">
        <f t="shared" ref="T42:T49" si="27">IF(S42="","",NETWORKDAYS(Q42,S42))</f>
        <v/>
      </c>
      <c r="U42" s="39"/>
      <c r="V42" s="43" t="str">
        <f t="shared" ref="V42:V55" si="28">IF(U42="","",NETWORKDAYS(S42,U42))</f>
        <v/>
      </c>
      <c r="W42" s="40"/>
      <c r="X42" s="44" t="str">
        <f t="shared" si="4"/>
        <v/>
      </c>
      <c r="Y42" s="44" t="str">
        <f t="shared" si="7"/>
        <v/>
      </c>
      <c r="Z42" s="34" t="str">
        <f t="shared" si="18"/>
        <v/>
      </c>
      <c r="AA42" s="32" t="s">
        <v>56</v>
      </c>
      <c r="AB42" s="32" t="s">
        <v>62</v>
      </c>
      <c r="AC42" s="32"/>
      <c r="AD42" s="32">
        <v>4</v>
      </c>
      <c r="AE42" s="32"/>
      <c r="AF42" s="32" t="e">
        <f t="shared" si="5"/>
        <v>#DIV/0!</v>
      </c>
      <c r="AG42" s="32"/>
      <c r="AH42" s="37" t="e">
        <f t="shared" ref="AH42:AH49" si="29">WORKDAY.INTL(P42,AF42,1,0)</f>
        <v>#DIV/0!</v>
      </c>
      <c r="AI42" s="32" t="s">
        <v>214</v>
      </c>
    </row>
    <row r="43" spans="1:35" ht="14.4" x14ac:dyDescent="0.3">
      <c r="A43" s="61" t="s">
        <v>187</v>
      </c>
      <c r="B43" s="32" t="s">
        <v>188</v>
      </c>
      <c r="C43" s="32" t="s">
        <v>189</v>
      </c>
      <c r="D43" s="32" t="s">
        <v>41</v>
      </c>
      <c r="E43" s="32" t="s">
        <v>33</v>
      </c>
      <c r="F43" s="34">
        <v>10000</v>
      </c>
      <c r="G43" s="34">
        <v>4050</v>
      </c>
      <c r="H43" s="32"/>
      <c r="I43" s="34"/>
      <c r="J43" s="34"/>
      <c r="K43" s="34"/>
      <c r="L43" s="35">
        <f t="shared" si="0"/>
        <v>0</v>
      </c>
      <c r="M43" s="36">
        <v>0.5</v>
      </c>
      <c r="N43" s="38">
        <v>46246</v>
      </c>
      <c r="O43" s="38">
        <v>46247</v>
      </c>
      <c r="P43" s="38">
        <v>46267</v>
      </c>
      <c r="Q43" s="51">
        <v>46259</v>
      </c>
      <c r="R43" s="41">
        <f t="shared" si="26"/>
        <v>10</v>
      </c>
      <c r="S43" s="52"/>
      <c r="T43" s="42" t="str">
        <f t="shared" si="27"/>
        <v/>
      </c>
      <c r="U43" s="39"/>
      <c r="V43" s="43" t="str">
        <f t="shared" si="28"/>
        <v/>
      </c>
      <c r="W43" s="40"/>
      <c r="X43" s="44" t="str">
        <f t="shared" si="4"/>
        <v/>
      </c>
      <c r="Y43" s="44" t="str">
        <f t="shared" si="7"/>
        <v/>
      </c>
      <c r="Z43" s="34" t="str">
        <f t="shared" si="18"/>
        <v/>
      </c>
      <c r="AA43" s="32" t="s">
        <v>61</v>
      </c>
      <c r="AB43" s="32" t="s">
        <v>105</v>
      </c>
      <c r="AC43" s="32">
        <v>14.64</v>
      </c>
      <c r="AD43" s="32">
        <v>6</v>
      </c>
      <c r="AE43" s="32">
        <v>24</v>
      </c>
      <c r="AF43" s="32">
        <f t="shared" ref="AF43:AF49" si="30">ROUNDUP((F43*1/(AC43*AD43*M43*AE43)),0)</f>
        <v>10</v>
      </c>
      <c r="AG43" s="32">
        <f>98/24</f>
        <v>4.083333333333333</v>
      </c>
      <c r="AH43" s="37">
        <f t="shared" si="29"/>
        <v>46281</v>
      </c>
      <c r="AI43" s="32"/>
    </row>
    <row r="44" spans="1:35" ht="14.4" x14ac:dyDescent="0.3">
      <c r="A44" s="53" t="s">
        <v>210</v>
      </c>
      <c r="B44" s="32" t="s">
        <v>211</v>
      </c>
      <c r="C44" s="32" t="s">
        <v>104</v>
      </c>
      <c r="D44" s="32" t="s">
        <v>64</v>
      </c>
      <c r="E44" s="32" t="s">
        <v>31</v>
      </c>
      <c r="F44" s="34">
        <v>10000</v>
      </c>
      <c r="G44" s="34">
        <v>6057</v>
      </c>
      <c r="H44" s="32"/>
      <c r="I44" s="34"/>
      <c r="J44" s="34"/>
      <c r="K44" s="34"/>
      <c r="L44" s="35">
        <f t="shared" si="0"/>
        <v>0</v>
      </c>
      <c r="M44" s="36">
        <v>0.61</v>
      </c>
      <c r="N44" s="38">
        <v>46246</v>
      </c>
      <c r="O44" s="38">
        <v>46246</v>
      </c>
      <c r="P44" s="38">
        <v>46266</v>
      </c>
      <c r="Q44" s="51">
        <v>46262</v>
      </c>
      <c r="R44" s="41">
        <f t="shared" si="26"/>
        <v>13</v>
      </c>
      <c r="S44" s="52"/>
      <c r="T44" s="42" t="str">
        <f t="shared" si="27"/>
        <v/>
      </c>
      <c r="U44" s="39"/>
      <c r="V44" s="43" t="str">
        <f t="shared" si="28"/>
        <v/>
      </c>
      <c r="W44" s="40"/>
      <c r="X44" s="44" t="str">
        <f t="shared" si="4"/>
        <v/>
      </c>
      <c r="Y44" s="44" t="str">
        <f t="shared" si="7"/>
        <v/>
      </c>
      <c r="Z44" s="34" t="str">
        <f t="shared" si="18"/>
        <v/>
      </c>
      <c r="AA44" s="32" t="s">
        <v>56</v>
      </c>
      <c r="AB44" s="32" t="s">
        <v>105</v>
      </c>
      <c r="AC44" s="32">
        <v>14.04</v>
      </c>
      <c r="AD44" s="32">
        <v>6</v>
      </c>
      <c r="AE44" s="32">
        <v>11</v>
      </c>
      <c r="AF44" s="32">
        <f t="shared" si="30"/>
        <v>18</v>
      </c>
      <c r="AG44" s="32"/>
      <c r="AH44" s="37">
        <f>WORKDAY.INTL(P44,AF44,1,0)</f>
        <v>46290</v>
      </c>
      <c r="AI44" s="32"/>
    </row>
    <row r="45" spans="1:35" ht="14.4" x14ac:dyDescent="0.3">
      <c r="A45" s="53" t="s">
        <v>222</v>
      </c>
      <c r="B45" s="32" t="s">
        <v>223</v>
      </c>
      <c r="C45" s="32" t="s">
        <v>195</v>
      </c>
      <c r="D45" s="32" t="s">
        <v>93</v>
      </c>
      <c r="E45" s="32" t="s">
        <v>31</v>
      </c>
      <c r="F45" s="34">
        <f>5000+5000</f>
        <v>10000</v>
      </c>
      <c r="G45" s="34">
        <v>4312</v>
      </c>
      <c r="H45" s="32"/>
      <c r="I45" s="34"/>
      <c r="J45" s="34"/>
      <c r="K45" s="34"/>
      <c r="L45" s="35">
        <f t="shared" si="0"/>
        <v>0</v>
      </c>
      <c r="M45" s="36">
        <v>0.8</v>
      </c>
      <c r="N45" s="38">
        <v>46238</v>
      </c>
      <c r="O45" s="38">
        <v>46239</v>
      </c>
      <c r="P45" s="38">
        <v>46267</v>
      </c>
      <c r="Q45" s="51"/>
      <c r="R45" s="41" t="str">
        <f t="shared" si="26"/>
        <v/>
      </c>
      <c r="S45" s="52"/>
      <c r="T45" s="42" t="str">
        <f t="shared" si="27"/>
        <v/>
      </c>
      <c r="U45" s="39"/>
      <c r="V45" s="43" t="str">
        <f t="shared" si="28"/>
        <v/>
      </c>
      <c r="W45" s="40"/>
      <c r="X45" s="44" t="str">
        <f t="shared" si="4"/>
        <v/>
      </c>
      <c r="Y45" s="44" t="str">
        <f t="shared" si="7"/>
        <v/>
      </c>
      <c r="Z45" s="34" t="str">
        <f t="shared" si="18"/>
        <v/>
      </c>
      <c r="AA45" s="32" t="s">
        <v>56</v>
      </c>
      <c r="AB45" s="32" t="s">
        <v>224</v>
      </c>
      <c r="AC45" s="32">
        <v>33.6</v>
      </c>
      <c r="AD45" s="32">
        <v>4</v>
      </c>
      <c r="AE45" s="32">
        <v>24</v>
      </c>
      <c r="AF45" s="32">
        <f t="shared" si="30"/>
        <v>4</v>
      </c>
      <c r="AG45" s="32"/>
      <c r="AH45" s="37">
        <f t="shared" si="29"/>
        <v>46273</v>
      </c>
      <c r="AI45" s="32"/>
    </row>
    <row r="46" spans="1:35" ht="14.4" x14ac:dyDescent="0.3">
      <c r="A46" s="161" t="s">
        <v>306</v>
      </c>
      <c r="B46" s="32" t="s">
        <v>307</v>
      </c>
      <c r="C46" s="32" t="s">
        <v>308</v>
      </c>
      <c r="D46" s="32" t="s">
        <v>59</v>
      </c>
      <c r="E46" s="33" t="s">
        <v>30</v>
      </c>
      <c r="F46" s="34">
        <v>10000</v>
      </c>
      <c r="G46" s="34">
        <v>2702</v>
      </c>
      <c r="H46" s="21"/>
      <c r="I46" s="21" t="s">
        <v>125</v>
      </c>
      <c r="J46" s="21"/>
      <c r="K46" s="21"/>
      <c r="L46" s="35">
        <f>+J46/G46</f>
        <v>0</v>
      </c>
      <c r="M46" s="36">
        <v>0.75</v>
      </c>
      <c r="N46" s="37">
        <v>46192</v>
      </c>
      <c r="O46" s="38">
        <v>46192</v>
      </c>
      <c r="P46" s="38">
        <v>46192</v>
      </c>
      <c r="Q46" s="162">
        <v>46192</v>
      </c>
      <c r="R46" s="163">
        <f>IF(Q46="","",NETWORKDAYS(N46,Q46))</f>
        <v>1</v>
      </c>
      <c r="S46" s="164"/>
      <c r="T46" s="42" t="str">
        <f>IF(S46="","",NETWORKDAYS(Q46,S46))</f>
        <v/>
      </c>
      <c r="U46" s="39"/>
      <c r="V46" s="165" t="str">
        <f>IF(U46="","",NETWORKDAYS(S46,U46))</f>
        <v/>
      </c>
      <c r="W46" s="40"/>
      <c r="X46" s="166" t="str">
        <f>IF(W46="","",NETWORKDAYS(U46,W46))</f>
        <v/>
      </c>
      <c r="Y46" s="166" t="str">
        <f>IF(W46="","",NETWORKDAYS(N46,W46))</f>
        <v/>
      </c>
      <c r="Z46" s="27" t="str">
        <f>IF(Y46="","",IF(Y46&lt;=20,"EFICIENTE","NO EFICIENTE"))</f>
        <v/>
      </c>
      <c r="AA46" s="167" t="s">
        <v>56</v>
      </c>
      <c r="AB46" s="33" t="s">
        <v>309</v>
      </c>
      <c r="AC46" s="34">
        <v>22.92</v>
      </c>
      <c r="AD46" s="32" t="s">
        <v>310</v>
      </c>
      <c r="AE46" s="168">
        <f>(((F46)/((AC46*10*4)+(AC46*12*4))))</f>
        <v>4.9579565286371565</v>
      </c>
      <c r="AF46" s="168"/>
      <c r="AG46" s="32" t="s">
        <v>311</v>
      </c>
    </row>
    <row r="47" spans="1:35" x14ac:dyDescent="0.25">
      <c r="A47" s="32"/>
      <c r="B47" s="32"/>
      <c r="C47" s="32"/>
      <c r="D47" s="32"/>
      <c r="E47" s="32"/>
      <c r="F47" s="34"/>
      <c r="G47" s="34"/>
      <c r="H47" s="32"/>
      <c r="I47" s="34"/>
      <c r="J47" s="34"/>
      <c r="K47" s="34"/>
      <c r="L47" s="32"/>
      <c r="M47" s="36">
        <v>0</v>
      </c>
      <c r="N47" s="38"/>
      <c r="O47" s="38"/>
      <c r="P47" s="38"/>
      <c r="Q47" s="51"/>
      <c r="R47" s="41" t="str">
        <f t="shared" si="26"/>
        <v/>
      </c>
      <c r="S47" s="52"/>
      <c r="T47" s="42" t="str">
        <f t="shared" si="27"/>
        <v/>
      </c>
      <c r="U47" s="39"/>
      <c r="V47" s="43" t="str">
        <f t="shared" si="28"/>
        <v/>
      </c>
      <c r="W47" s="40"/>
      <c r="X47" s="44" t="str">
        <f t="shared" si="4"/>
        <v/>
      </c>
      <c r="Y47" s="44" t="str">
        <f t="shared" ref="Y47" si="31">IF(W47="","",NETWORKDAYS(N47,W47))</f>
        <v/>
      </c>
      <c r="Z47" s="34" t="str">
        <f t="shared" ref="Z47" si="32">IF(Y47="","",IF(Y47&lt;=20,"EFICIENTE","NO EFICIENTE"))</f>
        <v/>
      </c>
      <c r="AA47" s="32"/>
      <c r="AB47" s="32"/>
      <c r="AC47" s="32"/>
      <c r="AD47" s="32"/>
      <c r="AE47" s="32"/>
      <c r="AF47" s="32" t="e">
        <f t="shared" si="30"/>
        <v>#DIV/0!</v>
      </c>
      <c r="AG47" s="32"/>
      <c r="AH47" s="37" t="e">
        <f t="shared" si="29"/>
        <v>#DIV/0!</v>
      </c>
      <c r="AI47" s="32"/>
    </row>
    <row r="48" spans="1:35" x14ac:dyDescent="0.25">
      <c r="A48" s="32"/>
      <c r="B48" s="32"/>
      <c r="C48" s="32"/>
      <c r="D48" s="32"/>
      <c r="E48" s="32"/>
      <c r="F48" s="34"/>
      <c r="G48" s="34"/>
      <c r="H48" s="32"/>
      <c r="I48" s="34"/>
      <c r="J48" s="34"/>
      <c r="K48" s="34"/>
      <c r="L48" s="32"/>
      <c r="M48" s="36">
        <v>0</v>
      </c>
      <c r="N48" s="38"/>
      <c r="O48" s="38"/>
      <c r="P48" s="38"/>
      <c r="Q48" s="51"/>
      <c r="R48" s="41" t="str">
        <f t="shared" si="26"/>
        <v/>
      </c>
      <c r="S48" s="52"/>
      <c r="T48" s="42" t="str">
        <f t="shared" si="27"/>
        <v/>
      </c>
      <c r="U48" s="39"/>
      <c r="V48" s="43" t="str">
        <f t="shared" si="28"/>
        <v/>
      </c>
      <c r="W48" s="40"/>
      <c r="X48" s="44" t="str">
        <f t="shared" si="4"/>
        <v/>
      </c>
      <c r="Y48" s="44" t="str">
        <f>IF(W48="","",NETWORKDAYS(N48,W48))</f>
        <v/>
      </c>
      <c r="Z48" s="34" t="str">
        <f>IF(Y48="","",IF(Y48&lt;=20,"EFICIENTE","NO EFICIENTE"))</f>
        <v/>
      </c>
      <c r="AA48" s="32"/>
      <c r="AB48" s="32"/>
      <c r="AC48" s="32"/>
      <c r="AD48" s="32"/>
      <c r="AE48" s="32"/>
      <c r="AF48" s="32" t="e">
        <f t="shared" si="30"/>
        <v>#DIV/0!</v>
      </c>
      <c r="AG48" s="32"/>
      <c r="AH48" s="37" t="e">
        <f t="shared" si="29"/>
        <v>#DIV/0!</v>
      </c>
      <c r="AI48" s="32"/>
    </row>
    <row r="49" spans="1:35" x14ac:dyDescent="0.25">
      <c r="A49" s="32"/>
      <c r="B49" s="32"/>
      <c r="C49" s="32"/>
      <c r="D49" s="32"/>
      <c r="E49" s="32"/>
      <c r="F49" s="34"/>
      <c r="G49" s="34"/>
      <c r="H49" s="32"/>
      <c r="I49" s="34"/>
      <c r="J49" s="34"/>
      <c r="K49" s="34"/>
      <c r="L49" s="32"/>
      <c r="M49" s="36">
        <v>0</v>
      </c>
      <c r="N49" s="38"/>
      <c r="O49" s="38"/>
      <c r="P49" s="38"/>
      <c r="Q49" s="51"/>
      <c r="R49" s="41" t="str">
        <f t="shared" si="26"/>
        <v/>
      </c>
      <c r="S49" s="52"/>
      <c r="T49" s="42" t="str">
        <f t="shared" si="27"/>
        <v/>
      </c>
      <c r="U49" s="39"/>
      <c r="V49" s="43" t="str">
        <f t="shared" si="28"/>
        <v/>
      </c>
      <c r="W49" s="40"/>
      <c r="X49" s="44" t="str">
        <f t="shared" si="4"/>
        <v/>
      </c>
      <c r="Y49" s="44" t="str">
        <f>IF(W49="","",NETWORKDAYS(N49,W49))</f>
        <v/>
      </c>
      <c r="Z49" s="34" t="str">
        <f>IF(Y49="","",IF(Y49&lt;=20,"EFICIENTE","NO EFICIENTE"))</f>
        <v/>
      </c>
      <c r="AA49" s="32"/>
      <c r="AB49" s="32"/>
      <c r="AC49" s="32"/>
      <c r="AD49" s="32"/>
      <c r="AE49" s="32"/>
      <c r="AF49" s="32" t="e">
        <f t="shared" si="30"/>
        <v>#DIV/0!</v>
      </c>
      <c r="AG49" s="32"/>
      <c r="AH49" s="37" t="e">
        <f t="shared" si="29"/>
        <v>#DIV/0!</v>
      </c>
      <c r="AI49" s="32"/>
    </row>
    <row r="50" spans="1:35" x14ac:dyDescent="0.25">
      <c r="A50" s="32"/>
      <c r="B50" s="32"/>
      <c r="C50" s="32"/>
      <c r="D50" s="32"/>
      <c r="E50" s="32"/>
      <c r="F50" s="34"/>
      <c r="G50" s="34"/>
      <c r="H50" s="32"/>
      <c r="I50" s="34"/>
      <c r="J50" s="34"/>
      <c r="K50" s="34"/>
      <c r="L50" s="32"/>
      <c r="M50" s="36">
        <v>0</v>
      </c>
      <c r="N50" s="38"/>
      <c r="O50" s="38"/>
      <c r="P50" s="38"/>
      <c r="Q50" s="51"/>
      <c r="R50" s="41" t="str">
        <f t="shared" si="26"/>
        <v/>
      </c>
      <c r="S50" s="52"/>
      <c r="T50" s="42" t="str">
        <f t="shared" ref="T50:T51" si="33">IF(S50="","",NETWORKDAYS(Q50,S50))</f>
        <v/>
      </c>
      <c r="U50" s="39"/>
      <c r="V50" s="43" t="str">
        <f t="shared" si="28"/>
        <v/>
      </c>
      <c r="W50" s="40"/>
      <c r="X50" s="44" t="str">
        <f t="shared" si="4"/>
        <v/>
      </c>
      <c r="Y50" s="44" t="str">
        <f t="shared" ref="Y50:Y51" si="34">IF(W50="","",NETWORKDAYS(N50,W50))</f>
        <v/>
      </c>
      <c r="Z50" s="34" t="str">
        <f t="shared" ref="Z50:Z51" si="35">IF(Y50="","",IF(Y50&lt;=20,"EFICIENTE","NO EFICIENTE"))</f>
        <v/>
      </c>
      <c r="AA50" s="32"/>
      <c r="AB50" s="32"/>
      <c r="AC50" s="32"/>
      <c r="AD50" s="32"/>
      <c r="AE50" s="32"/>
      <c r="AF50" s="32" t="e">
        <f t="shared" ref="AF50:AF51" si="36">ROUNDUP((F50*1/(AC50*AD50*M50*AE50)),0)</f>
        <v>#DIV/0!</v>
      </c>
      <c r="AG50" s="32"/>
      <c r="AH50" s="37" t="e">
        <f t="shared" ref="AH50:AH51" si="37">WORKDAY.INTL(P50,AF50,1,0)</f>
        <v>#DIV/0!</v>
      </c>
      <c r="AI50" s="32"/>
    </row>
    <row r="51" spans="1:35" x14ac:dyDescent="0.25">
      <c r="A51" s="32"/>
      <c r="B51" s="32"/>
      <c r="C51" s="32"/>
      <c r="D51" s="32"/>
      <c r="E51" s="32"/>
      <c r="F51" s="34"/>
      <c r="G51" s="34"/>
      <c r="H51" s="32"/>
      <c r="I51" s="34"/>
      <c r="J51" s="34"/>
      <c r="K51" s="34"/>
      <c r="L51" s="32"/>
      <c r="M51" s="36">
        <v>0</v>
      </c>
      <c r="N51" s="38"/>
      <c r="O51" s="38"/>
      <c r="P51" s="38"/>
      <c r="Q51" s="51"/>
      <c r="R51" s="41" t="str">
        <f t="shared" ref="R51" si="38">IF(Q51="","",NETWORKDAYS(N51,Q51))</f>
        <v/>
      </c>
      <c r="S51" s="52"/>
      <c r="T51" s="42" t="str">
        <f t="shared" si="33"/>
        <v/>
      </c>
      <c r="U51" s="39"/>
      <c r="V51" s="43" t="str">
        <f t="shared" si="28"/>
        <v/>
      </c>
      <c r="W51" s="40"/>
      <c r="X51" s="44" t="str">
        <f t="shared" si="4"/>
        <v/>
      </c>
      <c r="Y51" s="44" t="str">
        <f t="shared" si="34"/>
        <v/>
      </c>
      <c r="Z51" s="34" t="str">
        <f t="shared" si="35"/>
        <v/>
      </c>
      <c r="AA51" s="32"/>
      <c r="AB51" s="32"/>
      <c r="AC51" s="32"/>
      <c r="AD51" s="32"/>
      <c r="AE51" s="32"/>
      <c r="AF51" s="32" t="e">
        <f t="shared" si="36"/>
        <v>#DIV/0!</v>
      </c>
      <c r="AG51" s="32"/>
      <c r="AH51" s="37" t="e">
        <f t="shared" si="37"/>
        <v>#DIV/0!</v>
      </c>
      <c r="AI51" s="32"/>
    </row>
    <row r="52" spans="1:35" x14ac:dyDescent="0.25">
      <c r="A52" s="32"/>
      <c r="B52" s="32"/>
      <c r="C52" s="32"/>
      <c r="D52" s="32"/>
      <c r="E52" s="32"/>
      <c r="F52" s="34"/>
      <c r="G52" s="34"/>
      <c r="H52" s="32"/>
      <c r="I52" s="34"/>
      <c r="J52" s="34"/>
      <c r="K52" s="34"/>
      <c r="L52" s="32"/>
      <c r="M52" s="36">
        <v>0</v>
      </c>
      <c r="N52" s="38"/>
      <c r="O52" s="38"/>
      <c r="P52" s="38"/>
      <c r="Q52" s="51"/>
      <c r="R52" s="41" t="str">
        <f t="shared" ref="R52:R62" si="39">IF(Q52="","",NETWORKDAYS(N52,Q52))</f>
        <v/>
      </c>
      <c r="S52" s="52"/>
      <c r="T52" s="42" t="str">
        <f t="shared" ref="T52:T62" si="40">IF(S52="","",NETWORKDAYS(Q52,S52))</f>
        <v/>
      </c>
      <c r="U52" s="39"/>
      <c r="V52" s="43" t="str">
        <f t="shared" si="28"/>
        <v/>
      </c>
      <c r="W52" s="40"/>
      <c r="X52" s="44" t="str">
        <f t="shared" si="4"/>
        <v/>
      </c>
      <c r="Y52" s="44" t="str">
        <f t="shared" ref="Y52:Y62" si="41">IF(W52="","",NETWORKDAYS(N52,W52))</f>
        <v/>
      </c>
      <c r="Z52" s="34" t="str">
        <f t="shared" ref="Z52:Z62" si="42">IF(Y52="","",IF(Y52&lt;=20,"EFICIENTE","NO EFICIENTE"))</f>
        <v/>
      </c>
      <c r="AA52" s="32"/>
      <c r="AB52" s="32"/>
      <c r="AC52" s="32"/>
      <c r="AD52" s="32"/>
      <c r="AE52" s="32"/>
      <c r="AF52" s="32" t="e">
        <f t="shared" ref="AF52:AF62" si="43">ROUNDUP((F52*1/(AC52*AD52*M52*AE52)),0)</f>
        <v>#DIV/0!</v>
      </c>
      <c r="AG52" s="32"/>
      <c r="AH52" s="37" t="e">
        <f t="shared" ref="AH52:AH62" si="44">WORKDAY.INTL(P52,AF52,1,0)</f>
        <v>#DIV/0!</v>
      </c>
      <c r="AI52" s="32"/>
    </row>
    <row r="53" spans="1:35" x14ac:dyDescent="0.25">
      <c r="A53" s="32"/>
      <c r="B53" s="32"/>
      <c r="C53" s="32"/>
      <c r="D53" s="32"/>
      <c r="E53" s="32"/>
      <c r="F53" s="34"/>
      <c r="G53" s="34"/>
      <c r="H53" s="32"/>
      <c r="I53" s="34"/>
      <c r="J53" s="34"/>
      <c r="K53" s="34"/>
      <c r="L53" s="32"/>
      <c r="M53" s="36">
        <v>0</v>
      </c>
      <c r="N53" s="38"/>
      <c r="O53" s="38"/>
      <c r="P53" s="38"/>
      <c r="Q53" s="51"/>
      <c r="R53" s="41" t="str">
        <f t="shared" si="39"/>
        <v/>
      </c>
      <c r="S53" s="52"/>
      <c r="T53" s="42" t="str">
        <f>IF(S53="","",NETWORKDAYS(Q53,S53))</f>
        <v/>
      </c>
      <c r="U53" s="39"/>
      <c r="V53" s="43" t="str">
        <f t="shared" si="28"/>
        <v/>
      </c>
      <c r="W53" s="40"/>
      <c r="X53" s="44" t="str">
        <f t="shared" ref="X53:X62" si="45">IF(W53="","",NETWORKDAYS(U53,W53))</f>
        <v/>
      </c>
      <c r="Y53" s="44" t="str">
        <f t="shared" si="41"/>
        <v/>
      </c>
      <c r="Z53" s="34" t="str">
        <f t="shared" si="42"/>
        <v/>
      </c>
      <c r="AA53" s="32"/>
      <c r="AB53" s="32"/>
      <c r="AC53" s="32"/>
      <c r="AD53" s="32"/>
      <c r="AE53" s="32"/>
      <c r="AF53" s="32" t="e">
        <f t="shared" si="43"/>
        <v>#DIV/0!</v>
      </c>
      <c r="AG53" s="32"/>
      <c r="AH53" s="37" t="e">
        <f t="shared" si="44"/>
        <v>#DIV/0!</v>
      </c>
      <c r="AI53" s="32"/>
    </row>
    <row r="54" spans="1:35" x14ac:dyDescent="0.25">
      <c r="A54" s="32"/>
      <c r="B54" s="32"/>
      <c r="C54" s="32"/>
      <c r="D54" s="32"/>
      <c r="E54" s="32"/>
      <c r="F54" s="34"/>
      <c r="G54" s="34"/>
      <c r="H54" s="32"/>
      <c r="I54" s="34"/>
      <c r="J54" s="34"/>
      <c r="K54" s="34"/>
      <c r="L54" s="32"/>
      <c r="M54" s="36">
        <v>0</v>
      </c>
      <c r="N54" s="38"/>
      <c r="O54" s="38"/>
      <c r="P54" s="38"/>
      <c r="Q54" s="51"/>
      <c r="R54" s="41" t="str">
        <f t="shared" si="39"/>
        <v/>
      </c>
      <c r="S54" s="52"/>
      <c r="T54" s="42" t="str">
        <f>IF(S54="","",NETWORKDAYS(Q54,S54))</f>
        <v/>
      </c>
      <c r="U54" s="39"/>
      <c r="V54" s="43" t="str">
        <f t="shared" si="28"/>
        <v/>
      </c>
      <c r="W54" s="40"/>
      <c r="X54" s="44" t="str">
        <f t="shared" si="45"/>
        <v/>
      </c>
      <c r="Y54" s="44" t="str">
        <f t="shared" si="41"/>
        <v/>
      </c>
      <c r="Z54" s="34" t="str">
        <f t="shared" si="42"/>
        <v/>
      </c>
      <c r="AA54" s="32"/>
      <c r="AB54" s="32"/>
      <c r="AC54" s="32"/>
      <c r="AD54" s="32"/>
      <c r="AE54" s="32"/>
      <c r="AF54" s="32" t="e">
        <f t="shared" si="43"/>
        <v>#DIV/0!</v>
      </c>
      <c r="AG54" s="32"/>
      <c r="AH54" s="37" t="e">
        <f t="shared" si="44"/>
        <v>#DIV/0!</v>
      </c>
      <c r="AI54" s="32"/>
    </row>
    <row r="55" spans="1:35" x14ac:dyDescent="0.25">
      <c r="A55" s="32"/>
      <c r="B55" s="32"/>
      <c r="C55" s="32"/>
      <c r="D55" s="32"/>
      <c r="E55" s="32"/>
      <c r="F55" s="34"/>
      <c r="G55" s="34"/>
      <c r="H55" s="32"/>
      <c r="I55" s="34"/>
      <c r="J55" s="34"/>
      <c r="K55" s="34"/>
      <c r="L55" s="32"/>
      <c r="M55" s="36">
        <v>0</v>
      </c>
      <c r="N55" s="38"/>
      <c r="O55" s="38"/>
      <c r="P55" s="38"/>
      <c r="Q55" s="51"/>
      <c r="R55" s="41" t="str">
        <f t="shared" si="39"/>
        <v/>
      </c>
      <c r="S55" s="52"/>
      <c r="T55" s="42" t="str">
        <f t="shared" si="40"/>
        <v/>
      </c>
      <c r="U55" s="39"/>
      <c r="V55" s="43" t="str">
        <f t="shared" si="28"/>
        <v/>
      </c>
      <c r="W55" s="40"/>
      <c r="X55" s="44" t="str">
        <f t="shared" si="45"/>
        <v/>
      </c>
      <c r="Y55" s="44" t="str">
        <f t="shared" si="41"/>
        <v/>
      </c>
      <c r="Z55" s="34" t="str">
        <f t="shared" si="42"/>
        <v/>
      </c>
      <c r="AA55" s="32"/>
      <c r="AB55" s="32"/>
      <c r="AC55" s="32"/>
      <c r="AD55" s="32"/>
      <c r="AE55" s="32"/>
      <c r="AF55" s="32" t="e">
        <f t="shared" si="43"/>
        <v>#DIV/0!</v>
      </c>
      <c r="AG55" s="32"/>
      <c r="AH55" s="37" t="e">
        <f t="shared" si="44"/>
        <v>#DIV/0!</v>
      </c>
      <c r="AI55" s="32"/>
    </row>
    <row r="56" spans="1:35" x14ac:dyDescent="0.25">
      <c r="A56" s="32"/>
      <c r="B56" s="32"/>
      <c r="C56" s="32"/>
      <c r="D56" s="32"/>
      <c r="E56" s="32"/>
      <c r="F56" s="34"/>
      <c r="G56" s="34"/>
      <c r="H56" s="32"/>
      <c r="I56" s="34"/>
      <c r="J56" s="34"/>
      <c r="K56" s="34"/>
      <c r="L56" s="32"/>
      <c r="M56" s="36">
        <v>0</v>
      </c>
      <c r="N56" s="38"/>
      <c r="O56" s="38"/>
      <c r="P56" s="38"/>
      <c r="Q56" s="51"/>
      <c r="R56" s="41" t="str">
        <f t="shared" si="39"/>
        <v/>
      </c>
      <c r="S56" s="52"/>
      <c r="T56" s="42" t="str">
        <f t="shared" si="40"/>
        <v/>
      </c>
      <c r="U56" s="39"/>
      <c r="V56" s="43" t="str">
        <f t="shared" ref="V56:V62" si="46">IF(U56="","",NETWORKDAYS(S56,U56))</f>
        <v/>
      </c>
      <c r="W56" s="40"/>
      <c r="X56" s="44" t="str">
        <f t="shared" si="45"/>
        <v/>
      </c>
      <c r="Y56" s="44" t="str">
        <f t="shared" si="41"/>
        <v/>
      </c>
      <c r="Z56" s="34" t="str">
        <f t="shared" si="42"/>
        <v/>
      </c>
      <c r="AA56" s="32"/>
      <c r="AB56" s="32"/>
      <c r="AC56" s="32"/>
      <c r="AD56" s="32"/>
      <c r="AE56" s="32"/>
      <c r="AF56" s="32" t="e">
        <f t="shared" si="43"/>
        <v>#DIV/0!</v>
      </c>
      <c r="AG56" s="32"/>
      <c r="AH56" s="37" t="e">
        <f t="shared" si="44"/>
        <v>#DIV/0!</v>
      </c>
      <c r="AI56" s="32"/>
    </row>
    <row r="57" spans="1:35" x14ac:dyDescent="0.25">
      <c r="A57" s="32"/>
      <c r="B57" s="32"/>
      <c r="C57" s="32"/>
      <c r="D57" s="32"/>
      <c r="E57" s="32"/>
      <c r="F57" s="34"/>
      <c r="G57" s="34"/>
      <c r="H57" s="32"/>
      <c r="I57" s="34"/>
      <c r="J57" s="34"/>
      <c r="K57" s="34"/>
      <c r="L57" s="32"/>
      <c r="M57" s="36">
        <v>0</v>
      </c>
      <c r="N57" s="38"/>
      <c r="O57" s="38"/>
      <c r="P57" s="38"/>
      <c r="Q57" s="51"/>
      <c r="R57" s="41" t="str">
        <f t="shared" si="39"/>
        <v/>
      </c>
      <c r="S57" s="52"/>
      <c r="T57" s="42" t="str">
        <f>IF(S57="","",NETWORKDAYS(Q57,S57))</f>
        <v/>
      </c>
      <c r="U57" s="39"/>
      <c r="V57" s="43" t="str">
        <f>IF(U57="","",NETWORKDAYS(S57,U57))</f>
        <v/>
      </c>
      <c r="W57" s="40"/>
      <c r="X57" s="44" t="str">
        <f t="shared" si="45"/>
        <v/>
      </c>
      <c r="Y57" s="44" t="str">
        <f t="shared" si="41"/>
        <v/>
      </c>
      <c r="Z57" s="34" t="str">
        <f t="shared" si="42"/>
        <v/>
      </c>
      <c r="AA57" s="32"/>
      <c r="AB57" s="32"/>
      <c r="AC57" s="32"/>
      <c r="AD57" s="32"/>
      <c r="AE57" s="32"/>
      <c r="AF57" s="32" t="e">
        <f t="shared" si="43"/>
        <v>#DIV/0!</v>
      </c>
      <c r="AG57" s="32"/>
      <c r="AH57" s="37" t="e">
        <f t="shared" si="44"/>
        <v>#DIV/0!</v>
      </c>
      <c r="AI57" s="32"/>
    </row>
    <row r="58" spans="1:35" x14ac:dyDescent="0.25">
      <c r="A58" s="32"/>
      <c r="B58" s="32"/>
      <c r="C58" s="32"/>
      <c r="D58" s="32"/>
      <c r="E58" s="32"/>
      <c r="F58" s="34"/>
      <c r="G58" s="34"/>
      <c r="H58" s="32"/>
      <c r="I58" s="34"/>
      <c r="J58" s="34"/>
      <c r="K58" s="34"/>
      <c r="L58" s="32"/>
      <c r="M58" s="36">
        <v>0</v>
      </c>
      <c r="N58" s="38"/>
      <c r="O58" s="38"/>
      <c r="P58" s="38"/>
      <c r="Q58" s="51"/>
      <c r="R58" s="41" t="str">
        <f t="shared" si="39"/>
        <v/>
      </c>
      <c r="S58" s="52"/>
      <c r="T58" s="42" t="str">
        <f>IF(S58="","",NETWORKDAYS(Q58,S58))</f>
        <v/>
      </c>
      <c r="U58" s="39"/>
      <c r="V58" s="43" t="str">
        <f>IF(U58="","",NETWORKDAYS(S58,U58))</f>
        <v/>
      </c>
      <c r="W58" s="40"/>
      <c r="X58" s="44" t="str">
        <f t="shared" si="45"/>
        <v/>
      </c>
      <c r="Y58" s="44" t="str">
        <f t="shared" si="41"/>
        <v/>
      </c>
      <c r="Z58" s="34" t="str">
        <f t="shared" si="42"/>
        <v/>
      </c>
      <c r="AA58" s="32"/>
      <c r="AB58" s="32"/>
      <c r="AC58" s="32"/>
      <c r="AD58" s="32"/>
      <c r="AE58" s="32"/>
      <c r="AF58" s="32" t="e">
        <f t="shared" si="43"/>
        <v>#DIV/0!</v>
      </c>
      <c r="AG58" s="32"/>
      <c r="AH58" s="37" t="e">
        <f t="shared" si="44"/>
        <v>#DIV/0!</v>
      </c>
      <c r="AI58" s="32"/>
    </row>
    <row r="59" spans="1:35" x14ac:dyDescent="0.25">
      <c r="A59" s="32"/>
      <c r="B59" s="32"/>
      <c r="C59" s="32"/>
      <c r="D59" s="32"/>
      <c r="E59" s="32"/>
      <c r="F59" s="34"/>
      <c r="G59" s="34"/>
      <c r="H59" s="32"/>
      <c r="I59" s="34"/>
      <c r="J59" s="34"/>
      <c r="K59" s="34"/>
      <c r="L59" s="32"/>
      <c r="M59" s="36">
        <v>0</v>
      </c>
      <c r="N59" s="38"/>
      <c r="O59" s="38"/>
      <c r="P59" s="38"/>
      <c r="Q59" s="51"/>
      <c r="R59" s="41" t="str">
        <f t="shared" si="39"/>
        <v/>
      </c>
      <c r="S59" s="52"/>
      <c r="T59" s="42" t="str">
        <f t="shared" si="40"/>
        <v/>
      </c>
      <c r="U59" s="39"/>
      <c r="V59" s="43" t="str">
        <f t="shared" si="46"/>
        <v/>
      </c>
      <c r="W59" s="40"/>
      <c r="X59" s="44" t="str">
        <f t="shared" si="45"/>
        <v/>
      </c>
      <c r="Y59" s="44" t="str">
        <f t="shared" si="41"/>
        <v/>
      </c>
      <c r="Z59" s="34" t="str">
        <f t="shared" si="42"/>
        <v/>
      </c>
      <c r="AA59" s="32"/>
      <c r="AB59" s="32"/>
      <c r="AC59" s="32"/>
      <c r="AD59" s="32"/>
      <c r="AE59" s="32"/>
      <c r="AF59" s="32" t="e">
        <f t="shared" si="43"/>
        <v>#DIV/0!</v>
      </c>
      <c r="AG59" s="32"/>
      <c r="AH59" s="37" t="e">
        <f t="shared" si="44"/>
        <v>#DIV/0!</v>
      </c>
      <c r="AI59" s="32"/>
    </row>
    <row r="60" spans="1:35" x14ac:dyDescent="0.25">
      <c r="A60" s="32"/>
      <c r="B60" s="32"/>
      <c r="C60" s="32"/>
      <c r="D60" s="32"/>
      <c r="E60" s="32"/>
      <c r="F60" s="34"/>
      <c r="G60" s="34"/>
      <c r="H60" s="32"/>
      <c r="I60" s="34"/>
      <c r="J60" s="34"/>
      <c r="K60" s="34"/>
      <c r="L60" s="32"/>
      <c r="M60" s="36">
        <v>0</v>
      </c>
      <c r="N60" s="38"/>
      <c r="O60" s="38"/>
      <c r="P60" s="38"/>
      <c r="Q60" s="51"/>
      <c r="R60" s="41" t="str">
        <f t="shared" si="39"/>
        <v/>
      </c>
      <c r="S60" s="52"/>
      <c r="T60" s="42" t="str">
        <f t="shared" si="40"/>
        <v/>
      </c>
      <c r="U60" s="39"/>
      <c r="V60" s="43" t="str">
        <f t="shared" si="46"/>
        <v/>
      </c>
      <c r="W60" s="40"/>
      <c r="X60" s="44" t="str">
        <f t="shared" si="45"/>
        <v/>
      </c>
      <c r="Y60" s="44" t="str">
        <f t="shared" si="41"/>
        <v/>
      </c>
      <c r="Z60" s="34" t="str">
        <f t="shared" si="42"/>
        <v/>
      </c>
      <c r="AA60" s="32"/>
      <c r="AB60" s="32"/>
      <c r="AC60" s="32"/>
      <c r="AD60" s="32"/>
      <c r="AE60" s="32"/>
      <c r="AF60" s="32" t="e">
        <f t="shared" si="43"/>
        <v>#DIV/0!</v>
      </c>
      <c r="AG60" s="32"/>
      <c r="AH60" s="37" t="e">
        <f t="shared" si="44"/>
        <v>#DIV/0!</v>
      </c>
      <c r="AI60" s="32"/>
    </row>
    <row r="61" spans="1:35" x14ac:dyDescent="0.25">
      <c r="A61" s="32"/>
      <c r="B61" s="32"/>
      <c r="C61" s="32"/>
      <c r="D61" s="32"/>
      <c r="E61" s="32"/>
      <c r="F61" s="34"/>
      <c r="G61" s="34"/>
      <c r="H61" s="32"/>
      <c r="I61" s="34"/>
      <c r="J61" s="34"/>
      <c r="K61" s="34"/>
      <c r="L61" s="32"/>
      <c r="M61" s="32"/>
      <c r="N61" s="38"/>
      <c r="O61" s="38"/>
      <c r="P61" s="38"/>
      <c r="Q61" s="51"/>
      <c r="R61" s="41" t="str">
        <f t="shared" si="39"/>
        <v/>
      </c>
      <c r="S61" s="52"/>
      <c r="T61" s="42" t="str">
        <f t="shared" si="40"/>
        <v/>
      </c>
      <c r="U61" s="39"/>
      <c r="V61" s="43" t="str">
        <f t="shared" si="46"/>
        <v/>
      </c>
      <c r="W61" s="40"/>
      <c r="X61" s="44" t="str">
        <f t="shared" si="45"/>
        <v/>
      </c>
      <c r="Y61" s="44" t="str">
        <f t="shared" si="41"/>
        <v/>
      </c>
      <c r="Z61" s="34" t="str">
        <f t="shared" si="42"/>
        <v/>
      </c>
      <c r="AA61" s="32"/>
      <c r="AB61" s="32"/>
      <c r="AC61" s="32"/>
      <c r="AD61" s="32"/>
      <c r="AE61" s="32"/>
      <c r="AF61" s="32" t="e">
        <f t="shared" si="43"/>
        <v>#DIV/0!</v>
      </c>
      <c r="AG61" s="32"/>
      <c r="AH61" s="37" t="e">
        <f t="shared" si="44"/>
        <v>#DIV/0!</v>
      </c>
      <c r="AI61" s="32"/>
    </row>
    <row r="62" spans="1:35" x14ac:dyDescent="0.25">
      <c r="A62" s="32"/>
      <c r="B62" s="32"/>
      <c r="C62" s="32"/>
      <c r="D62" s="32"/>
      <c r="E62" s="32"/>
      <c r="F62" s="34"/>
      <c r="G62" s="34"/>
      <c r="H62" s="32"/>
      <c r="I62" s="34"/>
      <c r="J62" s="34"/>
      <c r="K62" s="34"/>
      <c r="L62" s="32"/>
      <c r="M62" s="32"/>
      <c r="N62" s="38"/>
      <c r="O62" s="38"/>
      <c r="P62" s="38"/>
      <c r="Q62" s="51"/>
      <c r="R62" s="41" t="str">
        <f t="shared" si="39"/>
        <v/>
      </c>
      <c r="S62" s="52"/>
      <c r="T62" s="42" t="str">
        <f t="shared" si="40"/>
        <v/>
      </c>
      <c r="U62" s="39"/>
      <c r="V62" s="43" t="str">
        <f t="shared" si="46"/>
        <v/>
      </c>
      <c r="W62" s="40"/>
      <c r="X62" s="44" t="str">
        <f t="shared" si="45"/>
        <v/>
      </c>
      <c r="Y62" s="44" t="str">
        <f t="shared" si="41"/>
        <v/>
      </c>
      <c r="Z62" s="34" t="str">
        <f t="shared" si="42"/>
        <v/>
      </c>
      <c r="AA62" s="32"/>
      <c r="AB62" s="32"/>
      <c r="AC62" s="32"/>
      <c r="AD62" s="32"/>
      <c r="AE62" s="32"/>
      <c r="AF62" s="32" t="e">
        <f t="shared" si="43"/>
        <v>#DIV/0!</v>
      </c>
      <c r="AG62" s="32"/>
      <c r="AH62" s="37" t="e">
        <f t="shared" si="44"/>
        <v>#DIV/0!</v>
      </c>
      <c r="AI62" s="32"/>
    </row>
    <row r="63" spans="1:35" ht="49.2" customHeight="1" x14ac:dyDescent="0.25">
      <c r="A63" s="45"/>
      <c r="B63" s="45" t="s">
        <v>39</v>
      </c>
      <c r="C63" s="45"/>
      <c r="D63" s="45"/>
      <c r="E63" s="46"/>
      <c r="F63" s="67"/>
      <c r="G63" s="67"/>
      <c r="H63" s="45"/>
      <c r="I63" s="67"/>
      <c r="J63" s="67"/>
      <c r="K63" s="67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5" ht="14.4" x14ac:dyDescent="0.3">
      <c r="A64" s="61" t="s">
        <v>123</v>
      </c>
      <c r="B64" s="32" t="s">
        <v>122</v>
      </c>
      <c r="C64" s="32" t="s">
        <v>124</v>
      </c>
      <c r="D64" s="32" t="s">
        <v>55</v>
      </c>
      <c r="E64" s="32" t="s">
        <v>60</v>
      </c>
      <c r="F64" s="34">
        <f>20000+400</f>
        <v>20400</v>
      </c>
      <c r="G64" s="34">
        <v>23862</v>
      </c>
      <c r="H64" s="32"/>
      <c r="I64" s="32">
        <v>24250</v>
      </c>
      <c r="J64" s="34">
        <v>687</v>
      </c>
      <c r="K64" s="34">
        <v>2.68</v>
      </c>
      <c r="L64" s="35">
        <f>+J64/G64</f>
        <v>2.8790545637415139E-2</v>
      </c>
      <c r="M64" s="36">
        <v>0.55000000000000004</v>
      </c>
      <c r="N64" s="38">
        <v>46234</v>
      </c>
      <c r="O64" s="38">
        <v>46234</v>
      </c>
      <c r="P64" s="38">
        <v>46247</v>
      </c>
      <c r="Q64" s="51">
        <v>46241</v>
      </c>
      <c r="R64" s="41">
        <f>IF(Q64="","",NETWORKDAYS(N64,Q64))</f>
        <v>6</v>
      </c>
      <c r="S64" s="52">
        <v>46253</v>
      </c>
      <c r="T64" s="42">
        <f>IF(S64="","",NETWORKDAYS(Q64,S64))</f>
        <v>9</v>
      </c>
      <c r="U64" s="39">
        <v>46255</v>
      </c>
      <c r="V64" s="43">
        <f>IF(U64="","",NETWORKDAYS(S64,U64))</f>
        <v>3</v>
      </c>
      <c r="W64" s="40">
        <v>46255</v>
      </c>
      <c r="X64" s="44">
        <f>IF(W64="","",NETWORKDAYS(U64,W64))</f>
        <v>1</v>
      </c>
      <c r="Y64" s="44">
        <f>IF(W64="","",NETWORKDAYS(N64,W64))</f>
        <v>16</v>
      </c>
      <c r="Z64" s="34" t="str">
        <f>IF(Y64="","",IF(Y64&lt;=20,"EFICIENTE","NO EFICIENTE"))</f>
        <v>EFICIENTE</v>
      </c>
      <c r="AA64" s="32" t="s">
        <v>129</v>
      </c>
      <c r="AB64" s="32" t="s">
        <v>7</v>
      </c>
      <c r="AC64" s="32">
        <v>89.4</v>
      </c>
      <c r="AD64" s="32">
        <v>6</v>
      </c>
      <c r="AE64" s="32">
        <v>24</v>
      </c>
      <c r="AF64" s="32">
        <f>ROUNDUP((F64*1/(AC64*AD64*M64*AE64)),0)</f>
        <v>3</v>
      </c>
      <c r="AG64" s="32">
        <f>75/24</f>
        <v>3.125</v>
      </c>
      <c r="AH64" s="37">
        <f>WORKDAY.INTL(P64,AF64,1,0)</f>
        <v>46252</v>
      </c>
      <c r="AI64" s="32"/>
    </row>
    <row r="65" spans="1:38" ht="14.4" x14ac:dyDescent="0.3">
      <c r="A65" s="61" t="s">
        <v>144</v>
      </c>
      <c r="B65" s="32" t="s">
        <v>145</v>
      </c>
      <c r="C65" s="32" t="s">
        <v>128</v>
      </c>
      <c r="D65" s="32" t="s">
        <v>55</v>
      </c>
      <c r="E65" s="32" t="s">
        <v>31</v>
      </c>
      <c r="F65" s="34">
        <v>9000</v>
      </c>
      <c r="G65" s="34">
        <v>4463</v>
      </c>
      <c r="H65" s="32">
        <v>8500</v>
      </c>
      <c r="I65" s="34"/>
      <c r="J65" s="34">
        <v>104</v>
      </c>
      <c r="K65" s="34">
        <v>0.73</v>
      </c>
      <c r="L65" s="35">
        <f>+J65/G65</f>
        <v>2.3302711180820074E-2</v>
      </c>
      <c r="M65" s="36">
        <v>0.93</v>
      </c>
      <c r="N65" s="38">
        <v>46234</v>
      </c>
      <c r="O65" s="38">
        <v>46234</v>
      </c>
      <c r="P65" s="38">
        <v>46249</v>
      </c>
      <c r="Q65" s="51">
        <v>46247</v>
      </c>
      <c r="R65" s="41">
        <f>IF(Q65="","",NETWORKDAYS(N65,Q65))</f>
        <v>10</v>
      </c>
      <c r="S65" s="52">
        <v>46253</v>
      </c>
      <c r="T65" s="42">
        <f>IF(S65="","",NETWORKDAYS(Q65,S65))</f>
        <v>5</v>
      </c>
      <c r="U65" s="39">
        <v>46262</v>
      </c>
      <c r="V65" s="43">
        <f>IF(U65="","",NETWORKDAYS(S65,U65))</f>
        <v>8</v>
      </c>
      <c r="W65" s="40">
        <v>46261</v>
      </c>
      <c r="X65" s="44">
        <f>IF(W65="","",NETWORKDAYS(U65,W65))</f>
        <v>-2</v>
      </c>
      <c r="Y65" s="44">
        <f>IF(W65="","",NETWORKDAYS(N65,W65))</f>
        <v>20</v>
      </c>
      <c r="Z65" s="34" t="str">
        <f>IF(Y65="","",IF(Y65&lt;=20,"EFICIENTE","NO EFICIENTE"))</f>
        <v>EFICIENTE</v>
      </c>
      <c r="AA65" s="32" t="s">
        <v>129</v>
      </c>
      <c r="AB65" s="32" t="s">
        <v>7</v>
      </c>
      <c r="AC65" s="32">
        <v>49.32</v>
      </c>
      <c r="AD65" s="32">
        <v>6</v>
      </c>
      <c r="AE65" s="32">
        <v>24</v>
      </c>
      <c r="AF65" s="32">
        <f>ROUNDUP((F65*1/(AC65*AD65*M65*AE65)),0)</f>
        <v>2</v>
      </c>
      <c r="AG65" s="32"/>
      <c r="AH65" s="37">
        <f>WORKDAY.INTL(P65,AF65,1,0)</f>
        <v>46252</v>
      </c>
      <c r="AI65" s="32"/>
      <c r="AK65" s="171" t="s">
        <v>38</v>
      </c>
      <c r="AL65" s="172"/>
    </row>
    <row r="66" spans="1:38" ht="14.4" x14ac:dyDescent="0.3">
      <c r="A66" s="53" t="s">
        <v>110</v>
      </c>
      <c r="B66" s="32" t="s">
        <v>111</v>
      </c>
      <c r="C66" s="32" t="s">
        <v>112</v>
      </c>
      <c r="D66" s="32" t="s">
        <v>55</v>
      </c>
      <c r="E66" s="32" t="s">
        <v>30</v>
      </c>
      <c r="F66" s="34">
        <f>2000+10000</f>
        <v>12000</v>
      </c>
      <c r="G66" s="34">
        <v>11834</v>
      </c>
      <c r="H66" s="32">
        <v>12500</v>
      </c>
      <c r="I66" s="34"/>
      <c r="J66" s="34">
        <v>130</v>
      </c>
      <c r="K66" s="34">
        <v>1.63</v>
      </c>
      <c r="L66" s="35">
        <f t="shared" ref="L66:L68" si="47">+J66/G66</f>
        <v>1.0985296603008281E-2</v>
      </c>
      <c r="M66" s="36">
        <v>0.81</v>
      </c>
      <c r="N66" s="38">
        <v>46234</v>
      </c>
      <c r="O66" s="38">
        <v>46234</v>
      </c>
      <c r="P66" s="38">
        <v>46245</v>
      </c>
      <c r="Q66" s="51">
        <v>46240</v>
      </c>
      <c r="R66" s="41">
        <f t="shared" ref="R66:R68" si="48">IF(Q66="","",NETWORKDAYS(N66,Q66))</f>
        <v>5</v>
      </c>
      <c r="S66" s="52">
        <v>46246</v>
      </c>
      <c r="T66" s="42">
        <f t="shared" ref="T66:T68" si="49">IF(S66="","",NETWORKDAYS(Q66,S66))</f>
        <v>5</v>
      </c>
      <c r="U66" s="39">
        <v>46254</v>
      </c>
      <c r="V66" s="43">
        <f t="shared" ref="V66:V68" si="50">IF(U66="","",NETWORKDAYS(S66,U66))</f>
        <v>7</v>
      </c>
      <c r="W66" s="40">
        <v>46254</v>
      </c>
      <c r="X66" s="44">
        <f t="shared" ref="X66:X68" si="51">IF(W66="","",NETWORKDAYS(U66,W66))</f>
        <v>1</v>
      </c>
      <c r="Y66" s="44">
        <f t="shared" ref="Y66:Y68" si="52">IF(W66="","",NETWORKDAYS(N66,W66))</f>
        <v>15</v>
      </c>
      <c r="Z66" s="34" t="str">
        <f t="shared" ref="Z66:Z70" si="53">IF(Y66="","",IF(Y66&lt;=20,"EFICIENTE","NO EFICIENTE"))</f>
        <v>EFICIENTE</v>
      </c>
      <c r="AA66" s="32" t="s">
        <v>129</v>
      </c>
      <c r="AB66" s="32" t="s">
        <v>7</v>
      </c>
      <c r="AC66" s="32">
        <v>85.2</v>
      </c>
      <c r="AD66" s="32">
        <v>6</v>
      </c>
      <c r="AE66" s="32"/>
      <c r="AF66" s="32" t="e">
        <f>ROUNDUP((F66*1/(AC66*AD66*M66*AE66)),0)</f>
        <v>#DIV/0!</v>
      </c>
      <c r="AG66" s="32"/>
      <c r="AH66" s="37" t="e">
        <f t="shared" ref="AH66:AH68" si="54">WORKDAY.INTL(P66,AF66,1,0)</f>
        <v>#DIV/0!</v>
      </c>
      <c r="AI66" s="32"/>
      <c r="AK66" s="56" t="s">
        <v>98</v>
      </c>
      <c r="AL66" s="32">
        <v>4</v>
      </c>
    </row>
    <row r="67" spans="1:38" ht="14.4" x14ac:dyDescent="0.3">
      <c r="A67" s="61" t="s">
        <v>118</v>
      </c>
      <c r="B67" s="32" t="s">
        <v>119</v>
      </c>
      <c r="C67" s="32" t="s">
        <v>120</v>
      </c>
      <c r="D67" s="32" t="s">
        <v>55</v>
      </c>
      <c r="E67" s="32" t="s">
        <v>60</v>
      </c>
      <c r="F67" s="34">
        <v>50000</v>
      </c>
      <c r="G67" s="34">
        <v>49652</v>
      </c>
      <c r="H67" s="32"/>
      <c r="I67" s="34">
        <v>98000</v>
      </c>
      <c r="J67" s="34">
        <v>467</v>
      </c>
      <c r="K67" s="34">
        <v>4.3</v>
      </c>
      <c r="L67" s="35">
        <f>+J67/G67</f>
        <v>9.4054620156287759E-3</v>
      </c>
      <c r="M67" s="36">
        <v>0.97</v>
      </c>
      <c r="N67" s="38">
        <v>46234</v>
      </c>
      <c r="O67" s="38">
        <v>46234</v>
      </c>
      <c r="P67" s="38">
        <v>46254</v>
      </c>
      <c r="Q67" s="51">
        <v>46245</v>
      </c>
      <c r="R67" s="41">
        <f>IF(Q67="","",NETWORKDAYS(N67,Q67))</f>
        <v>8</v>
      </c>
      <c r="S67" s="52">
        <v>46266</v>
      </c>
      <c r="T67" s="42">
        <f>IF(S67="","",NETWORKDAYS(Q67,S67))</f>
        <v>16</v>
      </c>
      <c r="U67" s="39"/>
      <c r="V67" s="43" t="str">
        <f>IF(U67="","",NETWORKDAYS(S67,U67))</f>
        <v/>
      </c>
      <c r="W67" s="40"/>
      <c r="X67" s="44" t="str">
        <f>IF(W67="","",NETWORKDAYS(U67,W67))</f>
        <v/>
      </c>
      <c r="Y67" s="44" t="str">
        <f>IF(W67="","",NETWORKDAYS(N67,W67))</f>
        <v/>
      </c>
      <c r="Z67" s="74" t="str">
        <f>IF(AG67="","",IF(AG67&lt;=AF67,"EFICIENTE","NO EFICIENTE"))</f>
        <v>EFICIENTE</v>
      </c>
      <c r="AA67" s="32" t="s">
        <v>129</v>
      </c>
      <c r="AB67" s="32" t="s">
        <v>7</v>
      </c>
      <c r="AC67" s="32">
        <v>39.479999999999997</v>
      </c>
      <c r="AD67" s="32">
        <v>8</v>
      </c>
      <c r="AE67" s="32">
        <v>24</v>
      </c>
      <c r="AF67" s="32">
        <f>ROUNDUP((F67*1/(AC67*AD67*M67*AE67)),0)</f>
        <v>7</v>
      </c>
      <c r="AG67" s="32">
        <v>7</v>
      </c>
      <c r="AH67" s="37">
        <f>WORKDAY.INTL(P67,AF67,1,0)</f>
        <v>46265</v>
      </c>
      <c r="AI67" s="32"/>
      <c r="AK67" s="57" t="s">
        <v>99</v>
      </c>
      <c r="AL67" s="32">
        <v>2</v>
      </c>
    </row>
    <row r="68" spans="1:38" ht="14.4" x14ac:dyDescent="0.3">
      <c r="A68" s="61" t="s">
        <v>47</v>
      </c>
      <c r="B68" s="32" t="s">
        <v>91</v>
      </c>
      <c r="C68" s="32" t="s">
        <v>49</v>
      </c>
      <c r="D68" s="32" t="s">
        <v>64</v>
      </c>
      <c r="E68" s="32" t="s">
        <v>32</v>
      </c>
      <c r="F68" s="34">
        <v>17526</v>
      </c>
      <c r="G68" s="34">
        <v>12909</v>
      </c>
      <c r="H68" s="32"/>
      <c r="I68" s="34">
        <v>12909</v>
      </c>
      <c r="J68" s="34">
        <v>1294</v>
      </c>
      <c r="K68" s="34">
        <v>4.43</v>
      </c>
      <c r="L68" s="35">
        <f t="shared" si="47"/>
        <v>0.10024014253621505</v>
      </c>
      <c r="M68" s="36">
        <v>0.8</v>
      </c>
      <c r="N68" s="38">
        <v>46225</v>
      </c>
      <c r="O68" s="38">
        <v>46225</v>
      </c>
      <c r="P68" s="38">
        <v>46240</v>
      </c>
      <c r="Q68" s="51">
        <v>46234</v>
      </c>
      <c r="R68" s="41">
        <f t="shared" si="48"/>
        <v>8</v>
      </c>
      <c r="S68" s="52">
        <v>46251</v>
      </c>
      <c r="T68" s="42">
        <f t="shared" si="49"/>
        <v>12</v>
      </c>
      <c r="U68" s="39">
        <v>46255</v>
      </c>
      <c r="V68" s="43">
        <f t="shared" si="50"/>
        <v>5</v>
      </c>
      <c r="W68" s="40">
        <v>46255</v>
      </c>
      <c r="X68" s="44">
        <f t="shared" si="51"/>
        <v>1</v>
      </c>
      <c r="Y68" s="44">
        <f t="shared" si="52"/>
        <v>23</v>
      </c>
      <c r="Z68" s="34" t="str">
        <f t="shared" si="53"/>
        <v>NO EFICIENTE</v>
      </c>
      <c r="AA68" s="32" t="s">
        <v>129</v>
      </c>
      <c r="AB68" s="32" t="s">
        <v>7</v>
      </c>
      <c r="AC68" s="32">
        <v>22.2</v>
      </c>
      <c r="AD68" s="32">
        <v>8</v>
      </c>
      <c r="AE68" s="32">
        <v>24</v>
      </c>
      <c r="AF68" s="32">
        <f t="shared" ref="AF68" si="55">ROUNDUP((F68*1/(AC68*AD68*M68*AE68)),0)</f>
        <v>6</v>
      </c>
      <c r="AG68" s="32"/>
      <c r="AH68" s="37">
        <f t="shared" si="54"/>
        <v>46248</v>
      </c>
      <c r="AI68" s="32"/>
      <c r="AK68" s="55" t="s">
        <v>95</v>
      </c>
      <c r="AL68" s="32">
        <f>SUM(AL66:AL67)</f>
        <v>6</v>
      </c>
    </row>
    <row r="69" spans="1:38" ht="14.4" x14ac:dyDescent="0.3">
      <c r="A69" s="75" t="s">
        <v>48</v>
      </c>
      <c r="B69" s="32" t="s">
        <v>92</v>
      </c>
      <c r="C69" s="32" t="s">
        <v>109</v>
      </c>
      <c r="D69" s="32" t="s">
        <v>93</v>
      </c>
      <c r="E69" s="32" t="s">
        <v>31</v>
      </c>
      <c r="F69" s="34">
        <v>8640</v>
      </c>
      <c r="G69" s="34">
        <v>10851</v>
      </c>
      <c r="H69" s="32" t="s">
        <v>125</v>
      </c>
      <c r="I69" s="34">
        <v>10851</v>
      </c>
      <c r="J69" s="34"/>
      <c r="K69" s="34"/>
      <c r="L69" s="35">
        <f>+J69/G69</f>
        <v>0</v>
      </c>
      <c r="M69" s="36">
        <v>0.8</v>
      </c>
      <c r="N69" s="38">
        <v>46219</v>
      </c>
      <c r="O69" s="38">
        <v>46219</v>
      </c>
      <c r="P69" s="38">
        <v>46220</v>
      </c>
      <c r="Q69" s="51">
        <v>46231</v>
      </c>
      <c r="R69" s="41">
        <f>IF(Q69="","",NETWORKDAYS(N69,Q69))</f>
        <v>9</v>
      </c>
      <c r="S69" s="52">
        <v>46248</v>
      </c>
      <c r="T69" s="42">
        <f>IF(S69="","",NETWORKDAYS(Q69,S69))</f>
        <v>14</v>
      </c>
      <c r="U69" s="39">
        <v>46248</v>
      </c>
      <c r="V69" s="43">
        <f>IF(U69="","",NETWORKDAYS(S69,U69))</f>
        <v>1</v>
      </c>
      <c r="W69" s="40">
        <v>46248</v>
      </c>
      <c r="X69" s="44">
        <f>IF(W69="","",NETWORKDAYS(U69,W69))</f>
        <v>1</v>
      </c>
      <c r="Y69" s="44">
        <f>IF(W69="","",NETWORKDAYS(N69,W69))</f>
        <v>22</v>
      </c>
      <c r="Z69" s="34" t="str">
        <f t="shared" si="53"/>
        <v>NO EFICIENTE</v>
      </c>
      <c r="AA69" s="32" t="s">
        <v>129</v>
      </c>
      <c r="AB69" s="32" t="s">
        <v>7</v>
      </c>
      <c r="AC69" s="32">
        <v>43.56</v>
      </c>
      <c r="AD69" s="32">
        <v>6</v>
      </c>
      <c r="AE69" s="32"/>
      <c r="AF69" s="32" t="e">
        <f>ROUNDUP((F69*1/(AC69*AD69*M69*AE69)),0)</f>
        <v>#DIV/0!</v>
      </c>
      <c r="AG69" s="32"/>
      <c r="AH69" s="37" t="e">
        <f>WORKDAY.INTL(P69,AF69,1,0)</f>
        <v>#DIV/0!</v>
      </c>
      <c r="AI69" s="32"/>
    </row>
    <row r="70" spans="1:38" ht="14.4" x14ac:dyDescent="0.3">
      <c r="A70" s="61" t="s">
        <v>192</v>
      </c>
      <c r="B70" s="32" t="s">
        <v>193</v>
      </c>
      <c r="C70" s="32" t="s">
        <v>194</v>
      </c>
      <c r="D70" s="32" t="s">
        <v>93</v>
      </c>
      <c r="E70" s="32" t="s">
        <v>32</v>
      </c>
      <c r="F70" s="34">
        <v>100000</v>
      </c>
      <c r="G70" s="34">
        <v>43956</v>
      </c>
      <c r="H70" s="32"/>
      <c r="I70" s="34">
        <v>43956</v>
      </c>
      <c r="J70" s="34">
        <v>1.3</v>
      </c>
      <c r="K70" s="34"/>
      <c r="L70" s="35">
        <f>+J70/G70</f>
        <v>2.9575029575029577E-5</v>
      </c>
      <c r="M70" s="36">
        <v>0.88</v>
      </c>
      <c r="N70" s="38">
        <v>46232</v>
      </c>
      <c r="O70" s="38">
        <v>46237</v>
      </c>
      <c r="P70" s="38">
        <v>46254</v>
      </c>
      <c r="Q70" s="51"/>
      <c r="R70" s="41"/>
      <c r="S70" s="52"/>
      <c r="T70" s="42"/>
      <c r="U70" s="39"/>
      <c r="V70" s="43"/>
      <c r="W70" s="40"/>
      <c r="X70" s="44"/>
      <c r="Y70" s="44"/>
      <c r="Z70" s="34" t="str">
        <f t="shared" si="53"/>
        <v/>
      </c>
      <c r="AA70" s="32" t="s">
        <v>42</v>
      </c>
      <c r="AB70" s="32" t="s">
        <v>7</v>
      </c>
      <c r="AC70" s="32">
        <v>66.239999999999995</v>
      </c>
      <c r="AD70" s="32">
        <v>24</v>
      </c>
      <c r="AE70" s="32">
        <v>24</v>
      </c>
      <c r="AF70" s="32">
        <f>ROUNDUP((F70*AF756/(AC70*AD70*M70*AE70)),0)</f>
        <v>0</v>
      </c>
      <c r="AG70" s="32"/>
      <c r="AH70" s="37">
        <f>WORKDAY.INTL(P70,AF70,1,0)</f>
        <v>46254</v>
      </c>
      <c r="AI70" s="32"/>
    </row>
    <row r="71" spans="1:38" ht="14.4" x14ac:dyDescent="0.3">
      <c r="A71" s="61" t="s">
        <v>196</v>
      </c>
      <c r="B71" s="32" t="s">
        <v>197</v>
      </c>
      <c r="C71" s="32" t="s">
        <v>40</v>
      </c>
      <c r="D71" s="32" t="s">
        <v>41</v>
      </c>
      <c r="E71" s="32" t="s">
        <v>31</v>
      </c>
      <c r="F71" s="34">
        <v>17526</v>
      </c>
      <c r="G71" s="34">
        <v>15241</v>
      </c>
      <c r="H71" s="32"/>
      <c r="I71" s="34">
        <v>15241</v>
      </c>
      <c r="J71" s="34">
        <v>935</v>
      </c>
      <c r="K71" s="34">
        <v>2.71</v>
      </c>
      <c r="L71" s="35">
        <f>+J71/G71</f>
        <v>6.1347680598385933E-2</v>
      </c>
      <c r="M71" s="36">
        <v>0.82</v>
      </c>
      <c r="N71" s="38">
        <v>46253</v>
      </c>
      <c r="O71" s="38">
        <v>46254</v>
      </c>
      <c r="P71" s="38">
        <v>46261</v>
      </c>
      <c r="Q71" s="51">
        <v>46260</v>
      </c>
      <c r="R71" s="41">
        <f>IF(Q71="","",NETWORKDAYS(N71,Q71))</f>
        <v>6</v>
      </c>
      <c r="S71" s="52">
        <v>46273</v>
      </c>
      <c r="T71" s="42">
        <f>IF(S71="","",NETWORKDAYS(Q71,S71))</f>
        <v>10</v>
      </c>
      <c r="U71" s="39">
        <v>46274</v>
      </c>
      <c r="V71" s="43">
        <f>IF(U71="","",NETWORKDAYS(S71,U71))</f>
        <v>2</v>
      </c>
      <c r="W71" s="40">
        <v>46274</v>
      </c>
      <c r="X71" s="44">
        <f>IF(W71="","",NETWORKDAYS(U71,W71))</f>
        <v>1</v>
      </c>
      <c r="Y71" s="44">
        <f>IF(W71="","",NETWORKDAYS(N71,W71))</f>
        <v>16</v>
      </c>
      <c r="Z71" s="34" t="str">
        <f>IF(Y71="","",IF(Y71&lt;=20,"EFICIENTE","NO EFICIENTE"))</f>
        <v>EFICIENTE</v>
      </c>
      <c r="AA71" s="32" t="s">
        <v>129</v>
      </c>
      <c r="AB71" s="32" t="s">
        <v>7</v>
      </c>
      <c r="AC71" s="32">
        <v>22.32</v>
      </c>
      <c r="AD71" s="32">
        <v>8</v>
      </c>
      <c r="AE71" s="32">
        <v>24</v>
      </c>
      <c r="AF71" s="32">
        <f>ROUNDUP((F71*1/(AC71*AD71*M71*AE71)),0)</f>
        <v>5</v>
      </c>
      <c r="AG71" s="32"/>
      <c r="AH71" s="37">
        <f>WORKDAY.INTL(P71,AF71,1,0)</f>
        <v>46268</v>
      </c>
      <c r="AI71" s="32"/>
    </row>
    <row r="72" spans="1:38" ht="14.4" x14ac:dyDescent="0.3">
      <c r="A72" s="61" t="s">
        <v>175</v>
      </c>
      <c r="B72" s="32" t="s">
        <v>176</v>
      </c>
      <c r="C72" s="32" t="s">
        <v>124</v>
      </c>
      <c r="D72" s="32" t="s">
        <v>55</v>
      </c>
      <c r="E72" s="32" t="s">
        <v>60</v>
      </c>
      <c r="F72" s="34">
        <f>8000+8000</f>
        <v>16000</v>
      </c>
      <c r="G72" s="34">
        <v>14749</v>
      </c>
      <c r="H72" s="32">
        <v>15600</v>
      </c>
      <c r="I72" s="34">
        <f>65+67</f>
        <v>132</v>
      </c>
      <c r="J72" s="34">
        <v>622</v>
      </c>
      <c r="K72" s="34">
        <v>2.4300000000000002</v>
      </c>
      <c r="L72" s="35">
        <f>+J72/G72</f>
        <v>4.217235066784189E-2</v>
      </c>
      <c r="M72" s="36">
        <v>0.75</v>
      </c>
      <c r="N72" s="38">
        <v>46234</v>
      </c>
      <c r="O72" s="38">
        <v>46234</v>
      </c>
      <c r="P72" s="38">
        <v>46259</v>
      </c>
      <c r="Q72" s="51">
        <v>46248</v>
      </c>
      <c r="R72" s="41">
        <f>IF(Q72="","",NETWORKDAYS(N72,Q72))</f>
        <v>11</v>
      </c>
      <c r="S72" s="52">
        <v>46260</v>
      </c>
      <c r="T72" s="42">
        <f>IF(S72="","",NETWORKDAYS(Q72,S72))</f>
        <v>9</v>
      </c>
      <c r="U72" s="39">
        <v>46268</v>
      </c>
      <c r="V72" s="43">
        <f>IF(U72="","",NETWORKDAYS(S72,U72))</f>
        <v>7</v>
      </c>
      <c r="W72" s="40">
        <v>46268</v>
      </c>
      <c r="X72" s="44">
        <f>IF(W72="","",NETWORKDAYS(U72,W72))</f>
        <v>1</v>
      </c>
      <c r="Y72" s="44">
        <f>IF(W72="","",NETWORKDAYS(N72,W72))</f>
        <v>25</v>
      </c>
      <c r="Z72" s="34" t="str">
        <f>IF(Y72="","",IF(Y72&lt;=20,"EFICIENTE","NO EFICIENTE"))</f>
        <v>NO EFICIENTE</v>
      </c>
      <c r="AA72" s="32" t="s">
        <v>129</v>
      </c>
      <c r="AB72" s="32" t="s">
        <v>7</v>
      </c>
      <c r="AC72" s="32">
        <v>90</v>
      </c>
      <c r="AD72" s="32">
        <v>6</v>
      </c>
      <c r="AE72" s="32">
        <v>24</v>
      </c>
      <c r="AF72" s="32">
        <f>ROUNDUP((F72*1/(AC72*AD72*M72*AE72)),0)</f>
        <v>2</v>
      </c>
      <c r="AG72" s="32"/>
      <c r="AH72" s="37">
        <f>WORKDAY.INTL(P72,AF72,1,0)</f>
        <v>46261</v>
      </c>
      <c r="AI72" s="32" t="s">
        <v>270</v>
      </c>
    </row>
    <row r="73" spans="1:38" ht="14.4" x14ac:dyDescent="0.3">
      <c r="A73" s="169" t="s">
        <v>312</v>
      </c>
      <c r="B73" s="32" t="s">
        <v>193</v>
      </c>
      <c r="C73" s="32" t="s">
        <v>305</v>
      </c>
      <c r="D73" s="32" t="s">
        <v>93</v>
      </c>
      <c r="E73" s="32" t="s">
        <v>60</v>
      </c>
      <c r="F73" s="34">
        <v>10000</v>
      </c>
      <c r="G73" s="34">
        <v>11008</v>
      </c>
      <c r="H73" s="32"/>
      <c r="I73" s="34">
        <v>18.7</v>
      </c>
      <c r="J73" s="34">
        <v>11</v>
      </c>
      <c r="K73" s="34">
        <v>0.1</v>
      </c>
      <c r="L73" s="35">
        <f>+J73/G73</f>
        <v>9.9927325581395353E-4</v>
      </c>
      <c r="M73" s="36">
        <v>0.75</v>
      </c>
      <c r="N73" s="38">
        <v>46232</v>
      </c>
      <c r="O73" s="38">
        <v>46232</v>
      </c>
      <c r="P73" s="38">
        <v>46249</v>
      </c>
      <c r="Q73" s="51">
        <v>46248</v>
      </c>
      <c r="R73" s="41">
        <f>IF(Q73="","",NETWORKDAYS(N73,Q73))</f>
        <v>13</v>
      </c>
      <c r="S73" s="52">
        <v>46272</v>
      </c>
      <c r="T73" s="42">
        <f>IF(S73="","",NETWORKDAYS(Q73,S73))</f>
        <v>17</v>
      </c>
      <c r="U73" s="39">
        <v>46273</v>
      </c>
      <c r="V73" s="43">
        <f>IF(U73="","",NETWORKDAYS(S73,U73))</f>
        <v>2</v>
      </c>
      <c r="W73" s="40">
        <v>46274</v>
      </c>
      <c r="X73" s="44">
        <f>IF(W73="","",NETWORKDAYS(U73,W73))</f>
        <v>2</v>
      </c>
      <c r="Y73" s="44">
        <f>IF(W73="","",NETWORKDAYS(N73,W73))</f>
        <v>31</v>
      </c>
      <c r="Z73" s="34" t="str">
        <f>IF(Y73="","",IF(Y73&lt;=20,"EFICIENTE","NO EFICIENTE"))</f>
        <v>NO EFICIENTE</v>
      </c>
      <c r="AA73" s="32" t="s">
        <v>129</v>
      </c>
      <c r="AB73" s="32" t="s">
        <v>7</v>
      </c>
      <c r="AC73" s="32">
        <v>73.8</v>
      </c>
      <c r="AD73" s="32">
        <v>2</v>
      </c>
      <c r="AE73" s="32">
        <v>24</v>
      </c>
      <c r="AF73" s="32">
        <f>ROUNDUP((F73*1/(AC73*AD73*M73*AE73)),0)</f>
        <v>4</v>
      </c>
      <c r="AG73" s="32">
        <f>129/24</f>
        <v>5.375</v>
      </c>
      <c r="AH73" s="37">
        <f>WORKDAY.INTL(P73,AF73,1,0)</f>
        <v>46254</v>
      </c>
      <c r="AI73" s="32"/>
    </row>
    <row r="76" spans="1:38" x14ac:dyDescent="0.25">
      <c r="F76" s="31">
        <f>SUM(F2:F75)</f>
        <v>620478</v>
      </c>
      <c r="G76" s="31">
        <f>SUM(G2:G75)</f>
        <v>502339</v>
      </c>
    </row>
    <row r="78" spans="1:38" x14ac:dyDescent="0.25">
      <c r="F78" s="170">
        <f>G76/F76</f>
        <v>0.80960001805059967</v>
      </c>
    </row>
  </sheetData>
  <autoFilter ref="A1:AX73" xr:uid="{00000000-0001-0000-0000-000000000000}"/>
  <mergeCells count="3">
    <mergeCell ref="AK3:AL3"/>
    <mergeCell ref="AT30:AU30"/>
    <mergeCell ref="AK65:AL65"/>
  </mergeCells>
  <conditionalFormatting sqref="AA1:AA3 AA30:AA36 AA19 AA21:AA23 AA72 AA38:AA41 AA26:AA28">
    <cfRule type="containsText" dxfId="213" priority="367" operator="containsText" text="ACA">
      <formula>NOT(ISERROR(SEARCH("ACA",AA1)))</formula>
    </cfRule>
    <cfRule type="containsText" dxfId="212" priority="368" operator="containsText" text="TER">
      <formula>NOT(ISERROR(SEARCH("TER",AA1)))</formula>
    </cfRule>
    <cfRule type="containsText" dxfId="211" priority="369" operator="containsText" text="MON">
      <formula>NOT(ISERROR(SEARCH("MON",AA1)))</formula>
    </cfRule>
    <cfRule type="containsText" dxfId="210" priority="370" operator="containsText" text="TEJE">
      <formula>NOT(ISERROR(SEARCH("TEJE",AA1)))</formula>
    </cfRule>
    <cfRule type="containsText" dxfId="209" priority="371" operator="containsText" text="CA">
      <formula>NOT(ISERROR(SEARCH("CA",AA1)))</formula>
    </cfRule>
  </conditionalFormatting>
  <conditionalFormatting sqref="M59:M60 M64:M69 M71:M72 M1:M43">
    <cfRule type="cellIs" dxfId="208" priority="364" operator="between">
      <formula>0.69</formula>
      <formula>0</formula>
    </cfRule>
    <cfRule type="cellIs" dxfId="207" priority="365" operator="between">
      <formula>0.79</formula>
      <formula>1</formula>
    </cfRule>
    <cfRule type="cellIs" dxfId="206" priority="366" operator="between">
      <formula>0.69</formula>
      <formula>0.79</formula>
    </cfRule>
  </conditionalFormatting>
  <conditionalFormatting sqref="Z1:Z3">
    <cfRule type="containsText" dxfId="205" priority="359" operator="containsText" text="ACA">
      <formula>NOT(ISERROR(SEARCH("ACA",Z1)))</formula>
    </cfRule>
    <cfRule type="containsText" dxfId="204" priority="360" operator="containsText" text="TER">
      <formula>NOT(ISERROR(SEARCH("TER",Z1)))</formula>
    </cfRule>
    <cfRule type="containsText" dxfId="203" priority="361" operator="containsText" text="MON">
      <formula>NOT(ISERROR(SEARCH("MON",Z1)))</formula>
    </cfRule>
    <cfRule type="containsText" dxfId="202" priority="362" operator="containsText" text="TEJE">
      <formula>NOT(ISERROR(SEARCH("TEJE",Z1)))</formula>
    </cfRule>
    <cfRule type="containsText" dxfId="201" priority="363" operator="containsText" text="CA">
      <formula>NOT(ISERROR(SEARCH("CA",Z1)))</formula>
    </cfRule>
  </conditionalFormatting>
  <conditionalFormatting sqref="Z59:Z62 Z64:Z72 Z1:Z45">
    <cfRule type="containsText" dxfId="200" priority="355" operator="containsText" text="NO EFICIENTE">
      <formula>NOT(ISERROR(SEARCH("NO EFICIENTE",Z1)))</formula>
    </cfRule>
    <cfRule type="containsText" dxfId="199" priority="356" operator="containsText" text="EFICIENTE">
      <formula>NOT(ISERROR(SEARCH("EFICIENTE",Z1)))</formula>
    </cfRule>
    <cfRule type="containsText" dxfId="198" priority="357" operator="containsText" text="NO">
      <formula>NOT(ISERROR(SEARCH("NO",Z1)))</formula>
    </cfRule>
    <cfRule type="containsText" dxfId="197" priority="358" operator="containsText" text="EFICIENTE">
      <formula>NOT(ISERROR(SEARCH("EFICIENTE",Z1)))</formula>
    </cfRule>
  </conditionalFormatting>
  <conditionalFormatting sqref="AA59:AA62 AA64:AA69 AA71:AA72 AA2:AA42">
    <cfRule type="containsText" dxfId="196" priority="328" operator="containsText" text="terminado">
      <formula>NOT(ISERROR(SEARCH("terminado",AA2)))</formula>
    </cfRule>
    <cfRule type="containsText" dxfId="195" priority="329" operator="containsText" text="acabados">
      <formula>NOT(ISERROR(SEARCH("acabados",AA2)))</formula>
    </cfRule>
    <cfRule type="containsText" dxfId="194" priority="330" operator="containsText" text="ca">
      <formula>NOT(ISERROR(SEARCH("ca",AA2)))</formula>
    </cfRule>
    <cfRule type="containsText" dxfId="193" priority="331" operator="containsText" text="mon">
      <formula>NOT(ISERROR(SEARCH("mon",AA2)))</formula>
    </cfRule>
    <cfRule type="containsText" dxfId="192" priority="332" operator="containsText" text="teje">
      <formula>NOT(ISERROR(SEARCH("teje",AA2)))</formula>
    </cfRule>
  </conditionalFormatting>
  <conditionalFormatting sqref="M38">
    <cfRule type="cellIs" dxfId="191" priority="325" operator="between">
      <formula>0.69</formula>
      <formula>0</formula>
    </cfRule>
    <cfRule type="cellIs" dxfId="190" priority="326" operator="between">
      <formula>0.79</formula>
      <formula>1</formula>
    </cfRule>
    <cfRule type="cellIs" dxfId="189" priority="327" operator="between">
      <formula>0.69</formula>
      <formula>0.79</formula>
    </cfRule>
  </conditionalFormatting>
  <conditionalFormatting sqref="AA38">
    <cfRule type="containsText" dxfId="188" priority="316" operator="containsText" text="terminado">
      <formula>NOT(ISERROR(SEARCH("terminado",AA38)))</formula>
    </cfRule>
    <cfRule type="containsText" dxfId="187" priority="317" operator="containsText" text="acabados">
      <formula>NOT(ISERROR(SEARCH("acabados",AA38)))</formula>
    </cfRule>
    <cfRule type="containsText" dxfId="186" priority="318" operator="containsText" text="ca">
      <formula>NOT(ISERROR(SEARCH("ca",AA38)))</formula>
    </cfRule>
    <cfRule type="containsText" dxfId="185" priority="319" operator="containsText" text="mon">
      <formula>NOT(ISERROR(SEARCH("mon",AA38)))</formula>
    </cfRule>
    <cfRule type="containsText" dxfId="184" priority="320" operator="containsText" text="teje">
      <formula>NOT(ISERROR(SEARCH("teje",AA38)))</formula>
    </cfRule>
  </conditionalFormatting>
  <conditionalFormatting sqref="M64">
    <cfRule type="cellIs" dxfId="183" priority="301" operator="between">
      <formula>0.69</formula>
      <formula>0</formula>
    </cfRule>
    <cfRule type="cellIs" dxfId="182" priority="302" operator="between">
      <formula>0.79</formula>
      <formula>1</formula>
    </cfRule>
    <cfRule type="cellIs" dxfId="181" priority="303" operator="between">
      <formula>0.69</formula>
      <formula>0.79</formula>
    </cfRule>
  </conditionalFormatting>
  <conditionalFormatting sqref="Z64">
    <cfRule type="containsText" dxfId="180" priority="297" operator="containsText" text="NO EFICIENTE">
      <formula>NOT(ISERROR(SEARCH("NO EFICIENTE",Z64)))</formula>
    </cfRule>
    <cfRule type="containsText" dxfId="179" priority="298" operator="containsText" text="EFICIENTE">
      <formula>NOT(ISERROR(SEARCH("EFICIENTE",Z64)))</formula>
    </cfRule>
    <cfRule type="containsText" dxfId="178" priority="299" operator="containsText" text="NO">
      <formula>NOT(ISERROR(SEARCH("NO",Z64)))</formula>
    </cfRule>
    <cfRule type="containsText" dxfId="177" priority="300" operator="containsText" text="EFICIENTE">
      <formula>NOT(ISERROR(SEARCH("EFICIENTE",Z64)))</formula>
    </cfRule>
  </conditionalFormatting>
  <conditionalFormatting sqref="AA64">
    <cfRule type="containsText" dxfId="176" priority="263" operator="containsText" text="terminado">
      <formula>NOT(ISERROR(SEARCH("terminado",AA64)))</formula>
    </cfRule>
    <cfRule type="containsText" dxfId="175" priority="264" operator="containsText" text="acabados">
      <formula>NOT(ISERROR(SEARCH("acabados",AA64)))</formula>
    </cfRule>
    <cfRule type="containsText" dxfId="174" priority="265" operator="containsText" text="ca">
      <formula>NOT(ISERROR(SEARCH("ca",AA64)))</formula>
    </cfRule>
    <cfRule type="containsText" dxfId="173" priority="266" operator="containsText" text="mon">
      <formula>NOT(ISERROR(SEARCH("mon",AA64)))</formula>
    </cfRule>
    <cfRule type="containsText" dxfId="172" priority="267" operator="containsText" text="teje">
      <formula>NOT(ISERROR(SEARCH("teje",AA64)))</formula>
    </cfRule>
  </conditionalFormatting>
  <conditionalFormatting sqref="AA43">
    <cfRule type="containsText" dxfId="171" priority="258" operator="containsText" text="terminado">
      <formula>NOT(ISERROR(SEARCH("terminado",AA43)))</formula>
    </cfRule>
    <cfRule type="containsText" dxfId="170" priority="259" operator="containsText" text="acabados">
      <formula>NOT(ISERROR(SEARCH("acabados",AA43)))</formula>
    </cfRule>
    <cfRule type="containsText" dxfId="169" priority="260" operator="containsText" text="ca">
      <formula>NOT(ISERROR(SEARCH("ca",AA43)))</formula>
    </cfRule>
    <cfRule type="containsText" dxfId="168" priority="261" operator="containsText" text="mon">
      <formula>NOT(ISERROR(SEARCH("mon",AA43)))</formula>
    </cfRule>
    <cfRule type="containsText" dxfId="167" priority="262" operator="containsText" text="teje">
      <formula>NOT(ISERROR(SEARCH("teje",AA43)))</formula>
    </cfRule>
  </conditionalFormatting>
  <conditionalFormatting sqref="AH59:AH62 AH52:AH53 AH64:AH72 AH2:AH45 AH47:AH48">
    <cfRule type="cellIs" dxfId="166" priority="242" operator="greaterThan">
      <formula>45658</formula>
    </cfRule>
  </conditionalFormatting>
  <conditionalFormatting sqref="AA26">
    <cfRule type="containsText" dxfId="165" priority="201" operator="containsText" text="terminado">
      <formula>NOT(ISERROR(SEARCH("terminado",AA26)))</formula>
    </cfRule>
    <cfRule type="containsText" dxfId="164" priority="202" operator="containsText" text="acabados">
      <formula>NOT(ISERROR(SEARCH("acabados",AA26)))</formula>
    </cfRule>
    <cfRule type="containsText" dxfId="163" priority="203" operator="containsText" text="ca">
      <formula>NOT(ISERROR(SEARCH("ca",AA26)))</formula>
    </cfRule>
    <cfRule type="containsText" dxfId="162" priority="204" operator="containsText" text="mon">
      <formula>NOT(ISERROR(SEARCH("mon",AA26)))</formula>
    </cfRule>
    <cfRule type="containsText" dxfId="161" priority="205" operator="containsText" text="teje">
      <formula>NOT(ISERROR(SEARCH("teje",AA26)))</formula>
    </cfRule>
  </conditionalFormatting>
  <conditionalFormatting sqref="M57:M58">
    <cfRule type="cellIs" dxfId="160" priority="183" operator="between">
      <formula>0.69</formula>
      <formula>0</formula>
    </cfRule>
    <cfRule type="cellIs" dxfId="159" priority="184" operator="between">
      <formula>0.79</formula>
      <formula>1</formula>
    </cfRule>
    <cfRule type="cellIs" dxfId="158" priority="185" operator="between">
      <formula>0.69</formula>
      <formula>0.79</formula>
    </cfRule>
  </conditionalFormatting>
  <conditionalFormatting sqref="Z57:Z58">
    <cfRule type="containsText" dxfId="157" priority="179" operator="containsText" text="NO EFICIENTE">
      <formula>NOT(ISERROR(SEARCH("NO EFICIENTE",Z57)))</formula>
    </cfRule>
    <cfRule type="containsText" dxfId="156" priority="180" operator="containsText" text="EFICIENTE">
      <formula>NOT(ISERROR(SEARCH("EFICIENTE",Z57)))</formula>
    </cfRule>
    <cfRule type="containsText" dxfId="155" priority="181" operator="containsText" text="NO">
      <formula>NOT(ISERROR(SEARCH("NO",Z57)))</formula>
    </cfRule>
    <cfRule type="containsText" dxfId="154" priority="182" operator="containsText" text="EFICIENTE">
      <formula>NOT(ISERROR(SEARCH("EFICIENTE",Z57)))</formula>
    </cfRule>
  </conditionalFormatting>
  <conditionalFormatting sqref="AA57:AA58">
    <cfRule type="containsText" dxfId="153" priority="174" operator="containsText" text="terminado">
      <formula>NOT(ISERROR(SEARCH("terminado",AA57)))</formula>
    </cfRule>
    <cfRule type="containsText" dxfId="152" priority="175" operator="containsText" text="acabados">
      <formula>NOT(ISERROR(SEARCH("acabados",AA57)))</formula>
    </cfRule>
    <cfRule type="containsText" dxfId="151" priority="176" operator="containsText" text="ca">
      <formula>NOT(ISERROR(SEARCH("ca",AA57)))</formula>
    </cfRule>
    <cfRule type="containsText" dxfId="150" priority="177" operator="containsText" text="mon">
      <formula>NOT(ISERROR(SEARCH("mon",AA57)))</formula>
    </cfRule>
    <cfRule type="containsText" dxfId="149" priority="178" operator="containsText" text="teje">
      <formula>NOT(ISERROR(SEARCH("teje",AA57)))</formula>
    </cfRule>
  </conditionalFormatting>
  <conditionalFormatting sqref="AH57:AH58">
    <cfRule type="cellIs" dxfId="148" priority="173" operator="greaterThan">
      <formula>45658</formula>
    </cfRule>
  </conditionalFormatting>
  <conditionalFormatting sqref="M55:M56">
    <cfRule type="cellIs" dxfId="147" priority="170" operator="between">
      <formula>0.69</formula>
      <formula>0</formula>
    </cfRule>
    <cfRule type="cellIs" dxfId="146" priority="171" operator="between">
      <formula>0.79</formula>
      <formula>1</formula>
    </cfRule>
    <cfRule type="cellIs" dxfId="145" priority="172" operator="between">
      <formula>0.69</formula>
      <formula>0.79</formula>
    </cfRule>
  </conditionalFormatting>
  <conditionalFormatting sqref="Z55:Z56">
    <cfRule type="containsText" dxfId="144" priority="166" operator="containsText" text="NO EFICIENTE">
      <formula>NOT(ISERROR(SEARCH("NO EFICIENTE",Z55)))</formula>
    </cfRule>
    <cfRule type="containsText" dxfId="143" priority="167" operator="containsText" text="EFICIENTE">
      <formula>NOT(ISERROR(SEARCH("EFICIENTE",Z55)))</formula>
    </cfRule>
    <cfRule type="containsText" dxfId="142" priority="168" operator="containsText" text="NO">
      <formula>NOT(ISERROR(SEARCH("NO",Z55)))</formula>
    </cfRule>
    <cfRule type="containsText" dxfId="141" priority="169" operator="containsText" text="EFICIENTE">
      <formula>NOT(ISERROR(SEARCH("EFICIENTE",Z55)))</formula>
    </cfRule>
  </conditionalFormatting>
  <conditionalFormatting sqref="AA55:AA56">
    <cfRule type="containsText" dxfId="140" priority="161" operator="containsText" text="terminado">
      <formula>NOT(ISERROR(SEARCH("terminado",AA55)))</formula>
    </cfRule>
    <cfRule type="containsText" dxfId="139" priority="162" operator="containsText" text="acabados">
      <formula>NOT(ISERROR(SEARCH("acabados",AA55)))</formula>
    </cfRule>
    <cfRule type="containsText" dxfId="138" priority="163" operator="containsText" text="ca">
      <formula>NOT(ISERROR(SEARCH("ca",AA55)))</formula>
    </cfRule>
    <cfRule type="containsText" dxfId="137" priority="164" operator="containsText" text="mon">
      <formula>NOT(ISERROR(SEARCH("mon",AA55)))</formula>
    </cfRule>
    <cfRule type="containsText" dxfId="136" priority="165" operator="containsText" text="teje">
      <formula>NOT(ISERROR(SEARCH("teje",AA55)))</formula>
    </cfRule>
  </conditionalFormatting>
  <conditionalFormatting sqref="AH55:AH56">
    <cfRule type="cellIs" dxfId="135" priority="160" operator="greaterThan">
      <formula>45658</formula>
    </cfRule>
  </conditionalFormatting>
  <conditionalFormatting sqref="M53:M54">
    <cfRule type="cellIs" dxfId="134" priority="157" operator="between">
      <formula>0.69</formula>
      <formula>0</formula>
    </cfRule>
    <cfRule type="cellIs" dxfId="133" priority="158" operator="between">
      <formula>0.79</formula>
      <formula>1</formula>
    </cfRule>
    <cfRule type="cellIs" dxfId="132" priority="159" operator="between">
      <formula>0.69</formula>
      <formula>0.79</formula>
    </cfRule>
  </conditionalFormatting>
  <conditionalFormatting sqref="Z53:Z54">
    <cfRule type="containsText" dxfId="131" priority="153" operator="containsText" text="NO EFICIENTE">
      <formula>NOT(ISERROR(SEARCH("NO EFICIENTE",Z53)))</formula>
    </cfRule>
    <cfRule type="containsText" dxfId="130" priority="154" operator="containsText" text="EFICIENTE">
      <formula>NOT(ISERROR(SEARCH("EFICIENTE",Z53)))</formula>
    </cfRule>
    <cfRule type="containsText" dxfId="129" priority="155" operator="containsText" text="NO">
      <formula>NOT(ISERROR(SEARCH("NO",Z53)))</formula>
    </cfRule>
    <cfRule type="containsText" dxfId="128" priority="156" operator="containsText" text="EFICIENTE">
      <formula>NOT(ISERROR(SEARCH("EFICIENTE",Z53)))</formula>
    </cfRule>
  </conditionalFormatting>
  <conditionalFormatting sqref="AA53:AA54">
    <cfRule type="containsText" dxfId="127" priority="148" operator="containsText" text="terminado">
      <formula>NOT(ISERROR(SEARCH("terminado",AA53)))</formula>
    </cfRule>
    <cfRule type="containsText" dxfId="126" priority="149" operator="containsText" text="acabados">
      <formula>NOT(ISERROR(SEARCH("acabados",AA53)))</formula>
    </cfRule>
    <cfRule type="containsText" dxfId="125" priority="150" operator="containsText" text="ca">
      <formula>NOT(ISERROR(SEARCH("ca",AA53)))</formula>
    </cfRule>
    <cfRule type="containsText" dxfId="124" priority="151" operator="containsText" text="mon">
      <formula>NOT(ISERROR(SEARCH("mon",AA53)))</formula>
    </cfRule>
    <cfRule type="containsText" dxfId="123" priority="152" operator="containsText" text="teje">
      <formula>NOT(ISERROR(SEARCH("teje",AA53)))</formula>
    </cfRule>
  </conditionalFormatting>
  <conditionalFormatting sqref="AH54">
    <cfRule type="cellIs" dxfId="122" priority="147" operator="greaterThan">
      <formula>45658</formula>
    </cfRule>
  </conditionalFormatting>
  <conditionalFormatting sqref="M52 M45">
    <cfRule type="cellIs" dxfId="121" priority="144" operator="between">
      <formula>0.69</formula>
      <formula>0</formula>
    </cfRule>
    <cfRule type="cellIs" dxfId="120" priority="145" operator="between">
      <formula>0.79</formula>
      <formula>1</formula>
    </cfRule>
    <cfRule type="cellIs" dxfId="119" priority="146" operator="between">
      <formula>0.69</formula>
      <formula>0.79</formula>
    </cfRule>
  </conditionalFormatting>
  <conditionalFormatting sqref="Z52">
    <cfRule type="containsText" dxfId="118" priority="140" operator="containsText" text="NO EFICIENTE">
      <formula>NOT(ISERROR(SEARCH("NO EFICIENTE",Z52)))</formula>
    </cfRule>
    <cfRule type="containsText" dxfId="117" priority="141" operator="containsText" text="EFICIENTE">
      <formula>NOT(ISERROR(SEARCH("EFICIENTE",Z52)))</formula>
    </cfRule>
    <cfRule type="containsText" dxfId="116" priority="142" operator="containsText" text="NO">
      <formula>NOT(ISERROR(SEARCH("NO",Z52)))</formula>
    </cfRule>
    <cfRule type="containsText" dxfId="115" priority="143" operator="containsText" text="EFICIENTE">
      <formula>NOT(ISERROR(SEARCH("EFICIENTE",Z52)))</formula>
    </cfRule>
  </conditionalFormatting>
  <conditionalFormatting sqref="AA52 AA45">
    <cfRule type="containsText" dxfId="114" priority="135" operator="containsText" text="terminado">
      <formula>NOT(ISERROR(SEARCH("terminado",AA45)))</formula>
    </cfRule>
    <cfRule type="containsText" dxfId="113" priority="136" operator="containsText" text="acabados">
      <formula>NOT(ISERROR(SEARCH("acabados",AA45)))</formula>
    </cfRule>
    <cfRule type="containsText" dxfId="112" priority="137" operator="containsText" text="ca">
      <formula>NOT(ISERROR(SEARCH("ca",AA45)))</formula>
    </cfRule>
    <cfRule type="containsText" dxfId="111" priority="138" operator="containsText" text="mon">
      <formula>NOT(ISERROR(SEARCH("mon",AA45)))</formula>
    </cfRule>
    <cfRule type="containsText" dxfId="110" priority="139" operator="containsText" text="teje">
      <formula>NOT(ISERROR(SEARCH("teje",AA45)))</formula>
    </cfRule>
  </conditionalFormatting>
  <conditionalFormatting sqref="M44">
    <cfRule type="cellIs" dxfId="109" priority="131" operator="between">
      <formula>0.69</formula>
      <formula>0</formula>
    </cfRule>
    <cfRule type="cellIs" dxfId="108" priority="132" operator="between">
      <formula>0.79</formula>
      <formula>1</formula>
    </cfRule>
    <cfRule type="cellIs" dxfId="107" priority="133" operator="between">
      <formula>0.69</formula>
      <formula>0.79</formula>
    </cfRule>
  </conditionalFormatting>
  <conditionalFormatting sqref="AA44">
    <cfRule type="containsText" dxfId="106" priority="122" operator="containsText" text="terminado">
      <formula>NOT(ISERROR(SEARCH("terminado",AA44)))</formula>
    </cfRule>
    <cfRule type="containsText" dxfId="105" priority="123" operator="containsText" text="acabados">
      <formula>NOT(ISERROR(SEARCH("acabados",AA44)))</formula>
    </cfRule>
    <cfRule type="containsText" dxfId="104" priority="124" operator="containsText" text="ca">
      <formula>NOT(ISERROR(SEARCH("ca",AA44)))</formula>
    </cfRule>
    <cfRule type="containsText" dxfId="103" priority="125" operator="containsText" text="mon">
      <formula>NOT(ISERROR(SEARCH("mon",AA44)))</formula>
    </cfRule>
    <cfRule type="containsText" dxfId="102" priority="126" operator="containsText" text="teje">
      <formula>NOT(ISERROR(SEARCH("teje",AA44)))</formula>
    </cfRule>
  </conditionalFormatting>
  <conditionalFormatting sqref="AA70">
    <cfRule type="containsText" dxfId="101" priority="90" operator="containsText" text="terminado">
      <formula>NOT(ISERROR(SEARCH("terminado",AA70)))</formula>
    </cfRule>
    <cfRule type="containsText" dxfId="100" priority="91" operator="containsText" text="acabados">
      <formula>NOT(ISERROR(SEARCH("acabados",AA70)))</formula>
    </cfRule>
    <cfRule type="containsText" dxfId="99" priority="92" operator="containsText" text="ca">
      <formula>NOT(ISERROR(SEARCH("ca",AA70)))</formula>
    </cfRule>
    <cfRule type="containsText" dxfId="98" priority="93" operator="containsText" text="mon">
      <formula>NOT(ISERROR(SEARCH("mon",AA70)))</formula>
    </cfRule>
    <cfRule type="containsText" dxfId="97" priority="94" operator="containsText" text="teje">
      <formula>NOT(ISERROR(SEARCH("teje",AA70)))</formula>
    </cfRule>
  </conditionalFormatting>
  <conditionalFormatting sqref="M70">
    <cfRule type="cellIs" dxfId="96" priority="87" operator="between">
      <formula>0.69</formula>
      <formula>0</formula>
    </cfRule>
    <cfRule type="cellIs" dxfId="95" priority="88" operator="between">
      <formula>0.79</formula>
      <formula>1</formula>
    </cfRule>
    <cfRule type="cellIs" dxfId="94" priority="89" operator="between">
      <formula>0.69</formula>
      <formula>0.79</formula>
    </cfRule>
  </conditionalFormatting>
  <conditionalFormatting sqref="Z19 Z38:Z41 Z21:Z28">
    <cfRule type="containsText" dxfId="93" priority="85" operator="containsText" text="NO">
      <formula>NOT(ISERROR(SEARCH("NO",Z19)))</formula>
    </cfRule>
    <cfRule type="containsText" dxfId="92" priority="86" operator="containsText" text="EFICIENTE">
      <formula>NOT(ISERROR(SEARCH("EFICIENTE",Z19)))</formula>
    </cfRule>
  </conditionalFormatting>
  <conditionalFormatting sqref="M18:M22">
    <cfRule type="cellIs" dxfId="91" priority="82" operator="between">
      <formula>0.69</formula>
      <formula>0</formula>
    </cfRule>
    <cfRule type="cellIs" dxfId="90" priority="83" operator="between">
      <formula>0.79</formula>
      <formula>1</formula>
    </cfRule>
    <cfRule type="cellIs" dxfId="89" priority="84" operator="between">
      <formula>0.69</formula>
      <formula>0.79</formula>
    </cfRule>
  </conditionalFormatting>
  <conditionalFormatting sqref="M17:M22">
    <cfRule type="cellIs" dxfId="88" priority="79" operator="between">
      <formula>0.69</formula>
      <formula>0</formula>
    </cfRule>
    <cfRule type="cellIs" dxfId="87" priority="80" operator="between">
      <formula>0.79</formula>
      <formula>1</formula>
    </cfRule>
    <cfRule type="cellIs" dxfId="86" priority="81" operator="between">
      <formula>0.69</formula>
      <formula>0.79</formula>
    </cfRule>
  </conditionalFormatting>
  <conditionalFormatting sqref="M22">
    <cfRule type="cellIs" dxfId="85" priority="76" operator="between">
      <formula>0.69</formula>
      <formula>0</formula>
    </cfRule>
    <cfRule type="cellIs" dxfId="84" priority="77" operator="between">
      <formula>0.79</formula>
      <formula>1</formula>
    </cfRule>
    <cfRule type="cellIs" dxfId="83" priority="78" operator="between">
      <formula>0.69</formula>
      <formula>0.79</formula>
    </cfRule>
  </conditionalFormatting>
  <conditionalFormatting sqref="Z67">
    <cfRule type="containsText" dxfId="82" priority="74" operator="containsText" text="NO">
      <formula>NOT(ISERROR(SEARCH("NO",Z67)))</formula>
    </cfRule>
    <cfRule type="containsText" dxfId="81" priority="75" operator="containsText" text="EFICIENTE">
      <formula>NOT(ISERROR(SEARCH("EFICIENTE",Z67)))</formula>
    </cfRule>
  </conditionalFormatting>
  <conditionalFormatting sqref="M50:M51">
    <cfRule type="cellIs" dxfId="80" priority="70" operator="between">
      <formula>0.69</formula>
      <formula>0</formula>
    </cfRule>
    <cfRule type="cellIs" dxfId="79" priority="71" operator="between">
      <formula>0.79</formula>
      <formula>1</formula>
    </cfRule>
    <cfRule type="cellIs" dxfId="78" priority="72" operator="between">
      <formula>0.69</formula>
      <formula>0.79</formula>
    </cfRule>
  </conditionalFormatting>
  <conditionalFormatting sqref="Z50:Z51">
    <cfRule type="containsText" dxfId="77" priority="66" operator="containsText" text="NO EFICIENTE">
      <formula>NOT(ISERROR(SEARCH("NO EFICIENTE",Z50)))</formula>
    </cfRule>
    <cfRule type="containsText" dxfId="76" priority="67" operator="containsText" text="EFICIENTE">
      <formula>NOT(ISERROR(SEARCH("EFICIENTE",Z50)))</formula>
    </cfRule>
    <cfRule type="containsText" dxfId="75" priority="68" operator="containsText" text="NO">
      <formula>NOT(ISERROR(SEARCH("NO",Z50)))</formula>
    </cfRule>
    <cfRule type="containsText" dxfId="74" priority="69" operator="containsText" text="EFICIENTE">
      <formula>NOT(ISERROR(SEARCH("EFICIENTE",Z50)))</formula>
    </cfRule>
  </conditionalFormatting>
  <conditionalFormatting sqref="AA50:AA51">
    <cfRule type="containsText" dxfId="73" priority="61" operator="containsText" text="terminado">
      <formula>NOT(ISERROR(SEARCH("terminado",AA50)))</formula>
    </cfRule>
    <cfRule type="containsText" dxfId="72" priority="62" operator="containsText" text="acabados">
      <formula>NOT(ISERROR(SEARCH("acabados",AA50)))</formula>
    </cfRule>
    <cfRule type="containsText" dxfId="71" priority="63" operator="containsText" text="ca">
      <formula>NOT(ISERROR(SEARCH("ca",AA50)))</formula>
    </cfRule>
    <cfRule type="containsText" dxfId="70" priority="64" operator="containsText" text="mon">
      <formula>NOT(ISERROR(SEARCH("mon",AA50)))</formula>
    </cfRule>
    <cfRule type="containsText" dxfId="69" priority="65" operator="containsText" text="teje">
      <formula>NOT(ISERROR(SEARCH("teje",AA50)))</formula>
    </cfRule>
  </conditionalFormatting>
  <conditionalFormatting sqref="AH50:AH51">
    <cfRule type="cellIs" dxfId="68" priority="60" operator="greaterThan">
      <formula>45658</formula>
    </cfRule>
  </conditionalFormatting>
  <conditionalFormatting sqref="M48:M49">
    <cfRule type="cellIs" dxfId="67" priority="57" operator="between">
      <formula>0.69</formula>
      <formula>0</formula>
    </cfRule>
    <cfRule type="cellIs" dxfId="66" priority="58" operator="between">
      <formula>0.79</formula>
      <formula>1</formula>
    </cfRule>
    <cfRule type="cellIs" dxfId="65" priority="59" operator="between">
      <formula>0.69</formula>
      <formula>0.79</formula>
    </cfRule>
  </conditionalFormatting>
  <conditionalFormatting sqref="Z48:Z49">
    <cfRule type="containsText" dxfId="64" priority="53" operator="containsText" text="NO EFICIENTE">
      <formula>NOT(ISERROR(SEARCH("NO EFICIENTE",Z48)))</formula>
    </cfRule>
    <cfRule type="containsText" dxfId="63" priority="54" operator="containsText" text="EFICIENTE">
      <formula>NOT(ISERROR(SEARCH("EFICIENTE",Z48)))</formula>
    </cfRule>
    <cfRule type="containsText" dxfId="62" priority="55" operator="containsText" text="NO">
      <formula>NOT(ISERROR(SEARCH("NO",Z48)))</formula>
    </cfRule>
    <cfRule type="containsText" dxfId="61" priority="56" operator="containsText" text="EFICIENTE">
      <formula>NOT(ISERROR(SEARCH("EFICIENTE",Z48)))</formula>
    </cfRule>
  </conditionalFormatting>
  <conditionalFormatting sqref="AA48:AA49">
    <cfRule type="containsText" dxfId="60" priority="48" operator="containsText" text="terminado">
      <formula>NOT(ISERROR(SEARCH("terminado",AA48)))</formula>
    </cfRule>
    <cfRule type="containsText" dxfId="59" priority="49" operator="containsText" text="acabados">
      <formula>NOT(ISERROR(SEARCH("acabados",AA48)))</formula>
    </cfRule>
    <cfRule type="containsText" dxfId="58" priority="50" operator="containsText" text="ca">
      <formula>NOT(ISERROR(SEARCH("ca",AA48)))</formula>
    </cfRule>
    <cfRule type="containsText" dxfId="57" priority="51" operator="containsText" text="mon">
      <formula>NOT(ISERROR(SEARCH("mon",AA48)))</formula>
    </cfRule>
    <cfRule type="containsText" dxfId="56" priority="52" operator="containsText" text="teje">
      <formula>NOT(ISERROR(SEARCH("teje",AA48)))</formula>
    </cfRule>
  </conditionalFormatting>
  <conditionalFormatting sqref="AH49">
    <cfRule type="cellIs" dxfId="55" priority="47" operator="greaterThan">
      <formula>45658</formula>
    </cfRule>
  </conditionalFormatting>
  <conditionalFormatting sqref="M47">
    <cfRule type="cellIs" dxfId="54" priority="44" operator="between">
      <formula>0.69</formula>
      <formula>0</formula>
    </cfRule>
    <cfRule type="cellIs" dxfId="53" priority="45" operator="between">
      <formula>0.79</formula>
      <formula>1</formula>
    </cfRule>
    <cfRule type="cellIs" dxfId="52" priority="46" operator="between">
      <formula>0.69</formula>
      <formula>0.79</formula>
    </cfRule>
  </conditionalFormatting>
  <conditionalFormatting sqref="Z47">
    <cfRule type="containsText" dxfId="51" priority="40" operator="containsText" text="NO EFICIENTE">
      <formula>NOT(ISERROR(SEARCH("NO EFICIENTE",Z47)))</formula>
    </cfRule>
    <cfRule type="containsText" dxfId="50" priority="41" operator="containsText" text="EFICIENTE">
      <formula>NOT(ISERROR(SEARCH("EFICIENTE",Z47)))</formula>
    </cfRule>
    <cfRule type="containsText" dxfId="49" priority="42" operator="containsText" text="NO">
      <formula>NOT(ISERROR(SEARCH("NO",Z47)))</formula>
    </cfRule>
    <cfRule type="containsText" dxfId="48" priority="43" operator="containsText" text="EFICIENTE">
      <formula>NOT(ISERROR(SEARCH("EFICIENTE",Z47)))</formula>
    </cfRule>
  </conditionalFormatting>
  <conditionalFormatting sqref="AA47">
    <cfRule type="containsText" dxfId="47" priority="35" operator="containsText" text="terminado">
      <formula>NOT(ISERROR(SEARCH("terminado",AA47)))</formula>
    </cfRule>
    <cfRule type="containsText" dxfId="46" priority="36" operator="containsText" text="acabados">
      <formula>NOT(ISERROR(SEARCH("acabados",AA47)))</formula>
    </cfRule>
    <cfRule type="containsText" dxfId="45" priority="37" operator="containsText" text="ca">
      <formula>NOT(ISERROR(SEARCH("ca",AA47)))</formula>
    </cfRule>
    <cfRule type="containsText" dxfId="44" priority="38" operator="containsText" text="mon">
      <formula>NOT(ISERROR(SEARCH("mon",AA47)))</formula>
    </cfRule>
    <cfRule type="containsText" dxfId="43" priority="39" operator="containsText" text="teje">
      <formula>NOT(ISERROR(SEARCH("teje",AA47)))</formula>
    </cfRule>
  </conditionalFormatting>
  <conditionalFormatting sqref="Z26">
    <cfRule type="containsText" dxfId="42" priority="33" operator="containsText" text="NO">
      <formula>NOT(ISERROR(SEARCH("NO",Z26)))</formula>
    </cfRule>
    <cfRule type="containsText" dxfId="41" priority="34" operator="containsText" text="EFICIENTE">
      <formula>NOT(ISERROR(SEARCH("EFICIENTE",Z26)))</formula>
    </cfRule>
  </conditionalFormatting>
  <conditionalFormatting sqref="Z26:Z27">
    <cfRule type="containsText" dxfId="40" priority="31" operator="containsText" text="NO">
      <formula>NOT(ISERROR(SEARCH("NO",Z26)))</formula>
    </cfRule>
    <cfRule type="containsText" dxfId="39" priority="32" operator="containsText" text="EFICIENTE">
      <formula>NOT(ISERROR(SEARCH("EFICIENTE",Z26)))</formula>
    </cfRule>
  </conditionalFormatting>
  <conditionalFormatting sqref="AA73">
    <cfRule type="containsText" dxfId="38" priority="26" operator="containsText" text="ACA">
      <formula>NOT(ISERROR(SEARCH("ACA",AA73)))</formula>
    </cfRule>
    <cfRule type="containsText" dxfId="37" priority="27" operator="containsText" text="TER">
      <formula>NOT(ISERROR(SEARCH("TER",AA73)))</formula>
    </cfRule>
    <cfRule type="containsText" dxfId="36" priority="28" operator="containsText" text="MON">
      <formula>NOT(ISERROR(SEARCH("MON",AA73)))</formula>
    </cfRule>
    <cfRule type="containsText" dxfId="35" priority="29" operator="containsText" text="TEJE">
      <formula>NOT(ISERROR(SEARCH("TEJE",AA73)))</formula>
    </cfRule>
    <cfRule type="containsText" dxfId="34" priority="30" operator="containsText" text="CA">
      <formula>NOT(ISERROR(SEARCH("CA",AA73)))</formula>
    </cfRule>
  </conditionalFormatting>
  <conditionalFormatting sqref="M73">
    <cfRule type="cellIs" dxfId="33" priority="23" operator="between">
      <formula>0.69</formula>
      <formula>0</formula>
    </cfRule>
    <cfRule type="cellIs" dxfId="32" priority="24" operator="between">
      <formula>0.79</formula>
      <formula>1</formula>
    </cfRule>
    <cfRule type="cellIs" dxfId="31" priority="25" operator="between">
      <formula>0.69</formula>
      <formula>0.79</formula>
    </cfRule>
  </conditionalFormatting>
  <conditionalFormatting sqref="Z73">
    <cfRule type="containsText" dxfId="30" priority="19" operator="containsText" text="NO EFICIENTE">
      <formula>NOT(ISERROR(SEARCH("NO EFICIENTE",Z73)))</formula>
    </cfRule>
    <cfRule type="containsText" dxfId="29" priority="20" operator="containsText" text="EFICIENTE">
      <formula>NOT(ISERROR(SEARCH("EFICIENTE",Z73)))</formula>
    </cfRule>
    <cfRule type="containsText" dxfId="28" priority="21" operator="containsText" text="NO">
      <formula>NOT(ISERROR(SEARCH("NO",Z73)))</formula>
    </cfRule>
    <cfRule type="containsText" dxfId="27" priority="22" operator="containsText" text="EFICIENTE">
      <formula>NOT(ISERROR(SEARCH("EFICIENTE",Z73)))</formula>
    </cfRule>
  </conditionalFormatting>
  <conditionalFormatting sqref="AA73">
    <cfRule type="containsText" dxfId="26" priority="14" operator="containsText" text="terminado">
      <formula>NOT(ISERROR(SEARCH("terminado",AA73)))</formula>
    </cfRule>
    <cfRule type="containsText" dxfId="25" priority="15" operator="containsText" text="acabados">
      <formula>NOT(ISERROR(SEARCH("acabados",AA73)))</formula>
    </cfRule>
    <cfRule type="containsText" dxfId="24" priority="16" operator="containsText" text="ca">
      <formula>NOT(ISERROR(SEARCH("ca",AA73)))</formula>
    </cfRule>
    <cfRule type="containsText" dxfId="23" priority="17" operator="containsText" text="mon">
      <formula>NOT(ISERROR(SEARCH("mon",AA73)))</formula>
    </cfRule>
    <cfRule type="containsText" dxfId="22" priority="18" operator="containsText" text="teje">
      <formula>NOT(ISERROR(SEARCH("teje",AA73)))</formula>
    </cfRule>
  </conditionalFormatting>
  <conditionalFormatting sqref="AH73">
    <cfRule type="cellIs" dxfId="21" priority="13" operator="greaterThan">
      <formula>45658</formula>
    </cfRule>
  </conditionalFormatting>
  <conditionalFormatting sqref="AA46">
    <cfRule type="containsText" dxfId="20" priority="8" operator="containsText" text="ACA">
      <formula>NOT(ISERROR(SEARCH("ACA",AA46)))</formula>
    </cfRule>
    <cfRule type="containsText" dxfId="19" priority="9" operator="containsText" text="TER">
      <formula>NOT(ISERROR(SEARCH("TER",AA46)))</formula>
    </cfRule>
    <cfRule type="containsText" dxfId="18" priority="10" operator="containsText" text="MON">
      <formula>NOT(ISERROR(SEARCH("MON",AA46)))</formula>
    </cfRule>
    <cfRule type="containsText" dxfId="17" priority="11" operator="containsText" text="TEJE">
      <formula>NOT(ISERROR(SEARCH("TEJE",AA46)))</formula>
    </cfRule>
    <cfRule type="containsText" dxfId="16" priority="12" operator="containsText" text="CA">
      <formula>NOT(ISERROR(SEARCH("CA",AA46)))</formula>
    </cfRule>
  </conditionalFormatting>
  <conditionalFormatting sqref="M46">
    <cfRule type="cellIs" dxfId="15" priority="5" operator="between">
      <formula>0.69</formula>
      <formula>0</formula>
    </cfRule>
    <cfRule type="cellIs" dxfId="14" priority="6" operator="between">
      <formula>0.79</formula>
      <formula>1</formula>
    </cfRule>
    <cfRule type="cellIs" dxfId="13" priority="7" operator="between">
      <formula>0.69</formula>
      <formula>0.79</formula>
    </cfRule>
  </conditionalFormatting>
  <conditionalFormatting sqref="Z46">
    <cfRule type="containsText" dxfId="12" priority="1" operator="containsText" text="NO EFICIENTE">
      <formula>NOT(ISERROR(SEARCH("NO EFICIENTE",Z46)))</formula>
    </cfRule>
    <cfRule type="containsText" dxfId="11" priority="2" operator="containsText" text="EFICIENTE">
      <formula>NOT(ISERROR(SEARCH("EFICIENTE",Z46)))</formula>
    </cfRule>
    <cfRule type="containsText" dxfId="10" priority="3" operator="containsText" text="NO">
      <formula>NOT(ISERROR(SEARCH("NO",Z46)))</formula>
    </cfRule>
    <cfRule type="containsText" dxfId="9" priority="4" operator="containsText" text="EFICIENTE">
      <formula>NOT(ISERROR(SEARCH("EFICIENTE",Z46)))</formula>
    </cfRule>
  </conditionalFormatting>
  <hyperlinks>
    <hyperlink ref="A2" r:id="rId1" location="'OP40 JUL '!A1" xr:uid="{377B31FF-5D33-4939-8F47-950F61E3618D}"/>
    <hyperlink ref="A3" r:id="rId2" location="'OP09 JUL '!A1" xr:uid="{23FA8A9C-A3E1-4DA9-A119-1185BD8D8AB5}"/>
    <hyperlink ref="A4" r:id="rId3" location="'OP36 JUL '!A1" xr:uid="{90D9B0AB-8B5B-4518-A6F8-3C771B61D13C}"/>
    <hyperlink ref="A5" r:id="rId4" location="'OP41 JUL '!A1" xr:uid="{9FC83033-5BC2-4C1C-A647-7959EE997610}"/>
    <hyperlink ref="A6" r:id="rId5" location="'OP39 JUL '!A1" xr:uid="{6A4141D1-73EB-4D10-84BE-B6D0B9AE2C78}"/>
    <hyperlink ref="A8" r:id="rId6" location="'OP42 JUL '!A1" xr:uid="{E528349F-2A35-43AB-B74E-7CE1EFC8E1F8}"/>
    <hyperlink ref="A28" r:id="rId7" location="'OP23 JUN'!A1" xr:uid="{A06C1890-6D96-4EBA-918F-88D3F48BB501}"/>
    <hyperlink ref="A27" r:id="rId8" location="'OP43 MAR '!A1" xr:uid="{FBEAA2C8-FE94-43FC-8C52-9DE45F5462DF}"/>
    <hyperlink ref="A23" r:id="rId9" location="'OP61 JUN'!A1" xr:uid="{C599A92B-8D63-418C-9898-D81BD3FFB331}"/>
    <hyperlink ref="A24" r:id="rId10" location="'OP63 JUN'!A1" xr:uid="{D2A7C81D-0304-48F4-977B-CA7F15D3D01D}"/>
    <hyperlink ref="A9" r:id="rId11" location="'OP03 04 AGO'!A1" xr:uid="{37D6DE8B-8553-42CD-AAEC-66B054DAF2CA}"/>
    <hyperlink ref="A25" r:id="rId12" location="'OP23 AGO'!A1" xr:uid="{527FAEA1-1466-4C6A-A7E6-6892726F98AD}"/>
    <hyperlink ref="A14" r:id="rId13" location="'OP37 AGOS '!A1" xr:uid="{AE8C867E-AB96-44F6-8E06-6AC08B2849E1}"/>
    <hyperlink ref="A12" r:id="rId14" location="'OP07 AGOS'!A1" xr:uid="{FC4E7ED9-71DE-4415-8CD0-E4F8F17F8C79}"/>
    <hyperlink ref="A29" r:id="rId15" location="'OP24 JUL '!A1" xr:uid="{ECD725AF-50B3-492C-97D7-8D73A06AE368}"/>
    <hyperlink ref="A30" r:id="rId16" location="'OP18 JUL '!A1" xr:uid="{9729D60D-E397-4D7D-AFC5-2AB831D46316}"/>
    <hyperlink ref="A31" r:id="rId17" location="'OP38 JUL '!A1" xr:uid="{2A6D0A20-6D39-4ABD-BE91-5BB1C654508C}"/>
    <hyperlink ref="A32" r:id="rId18" location="'OP01 JUL '!A1" xr:uid="{31AEDA08-5A5C-430D-9815-BC106C5C6717}"/>
    <hyperlink ref="A33" r:id="rId19" location="'OP06 JUL '!A1" xr:uid="{9F3A88C6-14DB-4ED8-B859-9811F97DBA32}"/>
    <hyperlink ref="A34" r:id="rId20" location="'OP08 JUL '!A1" xr:uid="{93176FE1-E704-422B-8CD9-9E16FB35B668}"/>
    <hyperlink ref="A35" r:id="rId21" location="'OP24 JUN'!A1" xr:uid="{9E422CFC-DDA2-4F8C-AAE9-4C7AD36DF49D}"/>
    <hyperlink ref="A36" r:id="rId22" location="'OP29 JUN '!A1" xr:uid="{49A4C8B8-65D0-4686-9B5A-AF110AB0CD4F}"/>
    <hyperlink ref="A37" r:id="rId23" location="'OP10 27-01JUL '!A1" display="OP10 JUL" xr:uid="{DAE9CADE-4EBF-4428-9BE9-DE8D31C9B3BE}"/>
    <hyperlink ref="A21" r:id="rId24" location="'OP21 22 AGOS '!A1" xr:uid="{B1FA3106-DF8F-42DF-B088-310497931826}"/>
    <hyperlink ref="A38" r:id="rId25" location="'OP15-01'!A1" xr:uid="{7E4DFE95-A832-47DC-88D1-B1C33B1326A7}"/>
    <hyperlink ref="A15" r:id="rId26" location="'OP30 AGOS '!A1" xr:uid="{16F08D70-9839-4354-ACF3-27242BB666AF}"/>
    <hyperlink ref="A26" r:id="rId27" location="'OP54 JUN'!A1" xr:uid="{C5965FC4-17CA-4489-BC15-C5B2CA653D36}"/>
    <hyperlink ref="A16" r:id="rId28" location="'OP33 AGOS'!A1" xr:uid="{953D00E2-FCC0-4E9D-8058-DE02158662CC}"/>
    <hyperlink ref="A72" r:id="rId29" location="'OP11 12 AGOS'!A1" xr:uid="{619EDAA5-3039-42B1-875F-8321CD624F06}"/>
    <hyperlink ref="A19" r:id="rId30" location="'OP24 AGOS'!A1" xr:uid="{0AA071A5-21D3-407D-9263-760FD4AC9171}"/>
    <hyperlink ref="A42" r:id="rId31" location="'OP12 MAY'!A1" xr:uid="{E95A5BD5-B244-49BF-96D3-3801C3258219}"/>
    <hyperlink ref="A39" r:id="rId32" location="'OP43 AGOS '!A1" xr:uid="{4D50AFB9-F469-4228-AB24-4020CBB36FD5}"/>
    <hyperlink ref="A40" r:id="rId33" location="'OP42 AGOS'!A1" xr:uid="{DAC98037-E130-4427-89FF-4189BCC188ED}"/>
    <hyperlink ref="A43" r:id="rId34" location="'OP32 AGOS '!A1" xr:uid="{DB5FA7DB-CB0C-4FD1-B8F4-16571E208AE8}"/>
    <hyperlink ref="A41" r:id="rId35" location="'OP17 01'!A1" xr:uid="{39841D67-5CAD-4F33-B626-0C31D7F97935}"/>
    <hyperlink ref="A71" r:id="rId36" location="'OP38 AGOS'!A1" xr:uid="{FBB684D2-B3F5-4089-87A7-4A53B36154DB}"/>
    <hyperlink ref="A22" r:id="rId37" location="'OP52 AGOS'!A1" xr:uid="{FBF730AF-D71A-41AC-983D-DEF4721157CC}"/>
    <hyperlink ref="A17" r:id="rId38" location="'OP34 AGOS'!A1" xr:uid="{20B2D7C1-D45D-4F9B-B922-E368652E403D}"/>
    <hyperlink ref="A20" r:id="rId39" location="'OP45 AGOS'!A1" xr:uid="{3C13C2C5-74D2-4B0A-9D1B-8D1E1769F5B5}"/>
    <hyperlink ref="A18" r:id="rId40" location="'OP46 AGOS'!A1" xr:uid="{17623741-42A6-43D2-B807-F2CFF0AFA545}"/>
    <hyperlink ref="A44" r:id="rId41" location="'OP31 AGOS '!A1" xr:uid="{006B29E8-8DA7-487E-A14F-85E15BB37AE2}"/>
    <hyperlink ref="A45" r:id="rId42" location="'OP21 22-01 AGOS '!A1" xr:uid="{9B1E3A22-44B1-4DB5-ADD8-AF82D73F4F58}"/>
    <hyperlink ref="A7" r:id="rId43" location="'OP20 AGO '!A1" xr:uid="{9F2B2578-2C72-4B68-9BE5-F80539049648}"/>
    <hyperlink ref="A10" r:id="rId44" location="'OP02 AGOS '!A1" xr:uid="{DF9FE781-A084-45D1-83CD-649F34E76545}"/>
    <hyperlink ref="A11" r:id="rId45" location="'OP41 AGOS '!A1" xr:uid="{A1C18567-C1F3-490A-A7AA-4EE41C46B933}"/>
    <hyperlink ref="A13" r:id="rId46" location="'OP01 AGOS '!A1" xr:uid="{0A399452-48A9-441B-9462-324922BE2C97}"/>
    <hyperlink ref="A64" r:id="rId47" location="'OP13 14 AGOS'!A1" xr:uid="{D637F0FE-C41F-4042-9D56-0DDB9D72C899}"/>
    <hyperlink ref="A65" r:id="rId48" location="'OP08 AGOS '!A1" xr:uid="{267B5CDF-4716-4888-8599-9BDC31A69D76}"/>
    <hyperlink ref="A66" r:id="rId49" location="'OP05 06 AGOS '!A1" xr:uid="{973B3F08-6972-45EF-9426-77AEFEE3B62B}"/>
    <hyperlink ref="A68" r:id="rId50" location="'OP32 JUL'!A1" xr:uid="{C99D5F3D-6DAF-4169-988C-4FC9A54A346E}"/>
    <hyperlink ref="A67" r:id="rId51" location="'OP09 AGOS'!A1" xr:uid="{9F186932-BDE7-4840-AB11-9893D1CBD1E9}"/>
    <hyperlink ref="A69" r:id="rId52" location="'OP28 JUL'!A1" xr:uid="{408E705A-D901-4836-B6C7-AF0961D9558F}"/>
    <hyperlink ref="A70" r:id="rId53" location="'OP19 AGOS '!A1" xr:uid="{21EE0D20-AFD4-4559-A014-621CD891A03B}"/>
    <hyperlink ref="A46" r:id="rId54" location="'OP37 JUN'!A1" xr:uid="{1A50F3E5-2A15-4CEB-9359-96341B06A02D}"/>
  </hyperlinks>
  <pageMargins left="0.7" right="0.7" top="0.75" bottom="0.75" header="0.3" footer="0.3"/>
  <pageSetup orientation="portrait" r:id="rId55"/>
  <drawing r:id="rId56"/>
  <legacy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75"/>
  <sheetViews>
    <sheetView topLeftCell="A28" zoomScale="78" zoomScaleNormal="78" workbookViewId="0">
      <selection activeCell="D5" sqref="D5"/>
    </sheetView>
  </sheetViews>
  <sheetFormatPr baseColWidth="10" defaultRowHeight="14.4" x14ac:dyDescent="0.3"/>
  <cols>
    <col min="3" max="3" width="13" customWidth="1"/>
    <col min="4" max="4" width="12.5546875" customWidth="1"/>
    <col min="5" max="5" width="13.44140625" customWidth="1"/>
    <col min="6" max="7" width="12.6640625" customWidth="1"/>
    <col min="8" max="8" width="15.44140625" customWidth="1"/>
    <col min="9" max="9" width="13" customWidth="1"/>
    <col min="11" max="12" width="0" hidden="1" customWidth="1"/>
    <col min="13" max="13" width="24.109375" customWidth="1"/>
    <col min="15" max="18" width="11" hidden="1" customWidth="1"/>
    <col min="19" max="19" width="0" hidden="1" customWidth="1"/>
  </cols>
  <sheetData>
    <row r="1" spans="3:29" ht="15" thickBot="1" x14ac:dyDescent="0.35"/>
    <row r="2" spans="3:29" x14ac:dyDescent="0.3">
      <c r="C2" s="181" t="s">
        <v>216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</row>
    <row r="3" spans="3:29" ht="15" thickBot="1" x14ac:dyDescent="0.35">
      <c r="C3" s="184" t="s">
        <v>221</v>
      </c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6"/>
    </row>
    <row r="4" spans="3:29" s="24" customFormat="1" ht="29.4" thickBot="1" x14ac:dyDescent="0.35">
      <c r="C4" s="88" t="s">
        <v>215</v>
      </c>
      <c r="D4" s="89" t="s">
        <v>217</v>
      </c>
      <c r="E4" s="89" t="s">
        <v>218</v>
      </c>
      <c r="F4" s="90" t="s">
        <v>42</v>
      </c>
      <c r="G4" s="91" t="s">
        <v>220</v>
      </c>
      <c r="H4" s="92" t="s">
        <v>219</v>
      </c>
      <c r="I4" s="175" t="s">
        <v>249</v>
      </c>
      <c r="J4" s="176"/>
      <c r="K4" s="176"/>
      <c r="L4" s="176"/>
      <c r="M4" s="176"/>
      <c r="N4" s="177"/>
    </row>
    <row r="5" spans="3:29" s="28" customFormat="1" ht="15" thickBot="1" x14ac:dyDescent="0.35">
      <c r="C5" s="95">
        <v>54</v>
      </c>
      <c r="D5" s="96">
        <v>32</v>
      </c>
      <c r="E5" s="96">
        <v>4</v>
      </c>
      <c r="F5" s="97">
        <v>6</v>
      </c>
      <c r="G5" s="93">
        <v>26</v>
      </c>
      <c r="H5" s="94">
        <v>10</v>
      </c>
      <c r="I5" s="178"/>
      <c r="J5" s="179"/>
      <c r="K5" s="179"/>
      <c r="L5" s="179"/>
      <c r="M5" s="179"/>
      <c r="N5" s="180"/>
    </row>
    <row r="6" spans="3:29" x14ac:dyDescent="0.3">
      <c r="C6" s="82"/>
      <c r="D6" s="76"/>
      <c r="E6" s="76"/>
      <c r="F6" s="76"/>
      <c r="G6" s="76"/>
      <c r="H6" s="83"/>
      <c r="I6" s="82"/>
      <c r="J6" s="76"/>
      <c r="K6" s="76"/>
      <c r="L6" s="76"/>
      <c r="M6" s="76"/>
      <c r="N6" s="83"/>
      <c r="AB6" s="26" t="s">
        <v>250</v>
      </c>
      <c r="AC6" s="26">
        <v>6</v>
      </c>
    </row>
    <row r="7" spans="3:29" x14ac:dyDescent="0.3">
      <c r="C7" s="82"/>
      <c r="D7" s="76"/>
      <c r="E7" s="76"/>
      <c r="F7" s="76"/>
      <c r="G7" s="76"/>
      <c r="H7" s="83"/>
      <c r="I7" s="82"/>
      <c r="J7" s="76"/>
      <c r="K7" s="76"/>
      <c r="L7" s="76"/>
      <c r="M7" s="76"/>
      <c r="N7" s="83"/>
      <c r="AB7" s="26" t="s">
        <v>251</v>
      </c>
      <c r="AC7" s="26">
        <v>1</v>
      </c>
    </row>
    <row r="8" spans="3:29" x14ac:dyDescent="0.3">
      <c r="C8" s="82"/>
      <c r="D8" s="76"/>
      <c r="E8" s="76"/>
      <c r="F8" s="76"/>
      <c r="G8" s="76"/>
      <c r="H8" s="83"/>
      <c r="I8" s="82"/>
      <c r="J8" s="76"/>
      <c r="K8" s="76"/>
      <c r="L8" s="76"/>
      <c r="M8" s="76"/>
      <c r="N8" s="83"/>
      <c r="AB8" s="26" t="s">
        <v>252</v>
      </c>
      <c r="AC8" s="26">
        <v>3</v>
      </c>
    </row>
    <row r="9" spans="3:29" x14ac:dyDescent="0.3">
      <c r="C9" s="82"/>
      <c r="D9" s="76"/>
      <c r="E9" s="76"/>
      <c r="F9" s="76"/>
      <c r="G9" s="76"/>
      <c r="H9" s="83"/>
      <c r="I9" s="82"/>
      <c r="J9" s="76"/>
      <c r="K9" s="76"/>
      <c r="L9" s="76"/>
      <c r="M9" s="76"/>
      <c r="N9" s="83"/>
    </row>
    <row r="10" spans="3:29" x14ac:dyDescent="0.3">
      <c r="C10" s="82"/>
      <c r="D10" s="76"/>
      <c r="E10" s="76"/>
      <c r="F10" s="76"/>
      <c r="G10" s="76"/>
      <c r="H10" s="83"/>
      <c r="I10" s="82"/>
      <c r="J10" s="76"/>
      <c r="K10" s="76"/>
      <c r="L10" s="76"/>
      <c r="M10" s="76"/>
      <c r="N10" s="83"/>
    </row>
    <row r="11" spans="3:29" x14ac:dyDescent="0.3">
      <c r="C11" s="82"/>
      <c r="D11" s="76"/>
      <c r="E11" s="76"/>
      <c r="F11" s="76"/>
      <c r="G11" s="76"/>
      <c r="H11" s="83"/>
      <c r="I11" s="82"/>
      <c r="J11" s="76"/>
      <c r="K11" s="76"/>
      <c r="L11" s="76"/>
      <c r="M11" s="76"/>
      <c r="N11" s="83"/>
    </row>
    <row r="12" spans="3:29" x14ac:dyDescent="0.3">
      <c r="C12" s="82"/>
      <c r="D12" s="76"/>
      <c r="E12" s="76"/>
      <c r="F12" s="76"/>
      <c r="G12" s="76"/>
      <c r="H12" s="83"/>
      <c r="I12" s="82"/>
      <c r="J12" s="76"/>
      <c r="K12" s="76"/>
      <c r="L12" s="76"/>
      <c r="M12" s="76"/>
      <c r="N12" s="83"/>
    </row>
    <row r="13" spans="3:29" x14ac:dyDescent="0.3">
      <c r="C13" s="82"/>
      <c r="D13" s="76"/>
      <c r="E13" s="76"/>
      <c r="F13" s="76"/>
      <c r="G13" s="76"/>
      <c r="H13" s="83"/>
      <c r="I13" s="82"/>
      <c r="J13" s="76"/>
      <c r="K13" s="76"/>
      <c r="L13" s="76"/>
      <c r="M13" s="76"/>
      <c r="N13" s="83"/>
    </row>
    <row r="14" spans="3:29" x14ac:dyDescent="0.3">
      <c r="C14" s="82"/>
      <c r="D14" s="76"/>
      <c r="E14" s="76"/>
      <c r="F14" s="76"/>
      <c r="G14" s="76"/>
      <c r="H14" s="83"/>
      <c r="I14" s="82"/>
      <c r="J14" s="76"/>
      <c r="K14" s="76"/>
      <c r="L14" s="76"/>
      <c r="M14" s="76"/>
      <c r="N14" s="83"/>
    </row>
    <row r="15" spans="3:29" x14ac:dyDescent="0.3">
      <c r="C15" s="82"/>
      <c r="D15" s="76"/>
      <c r="E15" s="76"/>
      <c r="F15" s="76"/>
      <c r="G15" s="76"/>
      <c r="H15" s="83"/>
      <c r="I15" s="82"/>
      <c r="J15" s="76"/>
      <c r="K15" s="76"/>
      <c r="L15" s="76"/>
      <c r="M15" s="76"/>
      <c r="N15" s="83"/>
    </row>
    <row r="16" spans="3:29" x14ac:dyDescent="0.3">
      <c r="C16" s="82"/>
      <c r="D16" s="76"/>
      <c r="E16" s="76"/>
      <c r="F16" s="76"/>
      <c r="G16" s="76"/>
      <c r="H16" s="83"/>
      <c r="I16" s="82"/>
      <c r="J16" s="76"/>
      <c r="K16" s="76"/>
      <c r="L16" s="76"/>
      <c r="M16" s="76"/>
      <c r="N16" s="83"/>
    </row>
    <row r="17" spans="2:14" x14ac:dyDescent="0.3">
      <c r="C17" s="82"/>
      <c r="D17" s="76"/>
      <c r="E17" s="76"/>
      <c r="F17" s="76"/>
      <c r="G17" s="76"/>
      <c r="H17" s="83"/>
      <c r="I17" s="82"/>
      <c r="J17" s="76"/>
      <c r="K17" s="76"/>
      <c r="L17" s="76"/>
      <c r="M17" s="76"/>
      <c r="N17" s="83"/>
    </row>
    <row r="18" spans="2:14" x14ac:dyDescent="0.3">
      <c r="B18" s="76"/>
      <c r="C18" s="82"/>
      <c r="D18" s="76"/>
      <c r="E18" s="76"/>
      <c r="F18" s="76"/>
      <c r="G18" s="76"/>
      <c r="H18" s="83"/>
      <c r="I18" s="82"/>
      <c r="J18" s="76"/>
      <c r="K18" s="76"/>
      <c r="L18" s="76"/>
      <c r="M18" s="76"/>
      <c r="N18" s="83"/>
    </row>
    <row r="19" spans="2:14" ht="16.5" customHeight="1" x14ac:dyDescent="0.3">
      <c r="B19" s="76"/>
      <c r="C19" s="82"/>
      <c r="D19" s="76"/>
      <c r="E19" s="76"/>
      <c r="F19" s="76"/>
      <c r="G19" s="76"/>
      <c r="H19" s="83"/>
      <c r="I19" s="82"/>
      <c r="J19" s="76"/>
      <c r="K19" s="76"/>
      <c r="L19" s="76"/>
      <c r="M19" s="76"/>
      <c r="N19" s="83"/>
    </row>
    <row r="20" spans="2:14" x14ac:dyDescent="0.3">
      <c r="B20" s="76"/>
      <c r="C20" s="82"/>
      <c r="D20" s="76"/>
      <c r="E20" s="76"/>
      <c r="F20" s="76"/>
      <c r="G20" s="76"/>
      <c r="H20" s="83"/>
      <c r="I20" s="82"/>
      <c r="J20" s="76"/>
      <c r="K20" s="76"/>
      <c r="L20" s="76"/>
      <c r="M20" s="76"/>
      <c r="N20" s="83"/>
    </row>
    <row r="21" spans="2:14" x14ac:dyDescent="0.3">
      <c r="B21" s="76"/>
      <c r="C21" s="82"/>
      <c r="D21" s="76"/>
      <c r="E21" s="76"/>
      <c r="F21" s="76"/>
      <c r="G21" s="76"/>
      <c r="H21" s="83"/>
      <c r="I21" s="82"/>
      <c r="J21" s="76"/>
      <c r="K21" s="76"/>
      <c r="L21" s="76"/>
      <c r="M21" s="76"/>
      <c r="N21" s="83"/>
    </row>
    <row r="22" spans="2:14" x14ac:dyDescent="0.3">
      <c r="B22" s="76"/>
      <c r="C22" s="82"/>
      <c r="D22" s="76"/>
      <c r="E22" s="76"/>
      <c r="F22" s="76"/>
      <c r="G22" s="76"/>
      <c r="H22" s="83"/>
      <c r="I22" s="82"/>
      <c r="J22" s="76"/>
      <c r="K22" s="76"/>
      <c r="L22" s="76"/>
      <c r="M22" s="76"/>
      <c r="N22" s="83"/>
    </row>
    <row r="23" spans="2:14" x14ac:dyDescent="0.3">
      <c r="B23" s="76"/>
      <c r="C23" s="82"/>
      <c r="D23" s="76"/>
      <c r="E23" s="76"/>
      <c r="F23" s="76"/>
      <c r="G23" s="76"/>
      <c r="H23" s="83"/>
      <c r="I23" s="82"/>
      <c r="J23" s="76"/>
      <c r="K23" s="76"/>
      <c r="L23" s="76"/>
      <c r="M23" s="76"/>
      <c r="N23" s="83"/>
    </row>
    <row r="24" spans="2:14" ht="15" thickBot="1" x14ac:dyDescent="0.35">
      <c r="B24" s="76"/>
      <c r="C24" s="84"/>
      <c r="D24" s="85"/>
      <c r="E24" s="85"/>
      <c r="F24" s="85"/>
      <c r="G24" s="85"/>
      <c r="H24" s="86"/>
      <c r="I24" s="84"/>
      <c r="J24" s="85"/>
      <c r="K24" s="85"/>
      <c r="L24" s="85"/>
      <c r="M24" s="85"/>
      <c r="N24" s="86"/>
    </row>
    <row r="25" spans="2:14" ht="15" thickBot="1" x14ac:dyDescent="0.35">
      <c r="B25" s="76"/>
      <c r="C25" s="193" t="s">
        <v>234</v>
      </c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5"/>
    </row>
    <row r="26" spans="2:14" ht="29.4" thickBot="1" x14ac:dyDescent="0.35">
      <c r="B26" s="76"/>
      <c r="C26" s="139" t="s">
        <v>253</v>
      </c>
      <c r="D26" s="196" t="s">
        <v>234</v>
      </c>
      <c r="E26" s="196"/>
      <c r="F26" s="196"/>
      <c r="G26" s="140" t="s">
        <v>235</v>
      </c>
      <c r="H26" s="140" t="s">
        <v>254</v>
      </c>
      <c r="I26" s="141" t="s">
        <v>255</v>
      </c>
      <c r="J26" s="187" t="s">
        <v>256</v>
      </c>
      <c r="K26" s="187"/>
      <c r="L26" s="187"/>
      <c r="M26" s="187"/>
      <c r="N26" s="188"/>
    </row>
    <row r="27" spans="2:14" ht="24.9" customHeight="1" x14ac:dyDescent="0.3">
      <c r="B27" s="76"/>
      <c r="C27" s="135" t="s">
        <v>130</v>
      </c>
      <c r="D27" s="201" t="s">
        <v>131</v>
      </c>
      <c r="E27" s="202"/>
      <c r="F27" s="203"/>
      <c r="G27" s="136">
        <v>27</v>
      </c>
      <c r="H27" s="137" t="s">
        <v>57</v>
      </c>
      <c r="I27" s="138">
        <f>+G27-20</f>
        <v>7</v>
      </c>
      <c r="J27" s="215" t="s">
        <v>239</v>
      </c>
      <c r="K27" s="215"/>
      <c r="L27" s="215"/>
      <c r="M27" s="215"/>
      <c r="N27" s="215"/>
    </row>
    <row r="28" spans="2:14" ht="24.9" customHeight="1" x14ac:dyDescent="0.3">
      <c r="B28" s="76"/>
      <c r="C28" s="101" t="s">
        <v>45</v>
      </c>
      <c r="D28" s="204" t="s">
        <v>247</v>
      </c>
      <c r="E28" s="205"/>
      <c r="F28" s="206"/>
      <c r="G28" s="100">
        <v>29</v>
      </c>
      <c r="H28" s="87" t="s">
        <v>83</v>
      </c>
      <c r="I28" s="81">
        <f t="shared" ref="I28:I36" si="0">+G28-20</f>
        <v>9</v>
      </c>
      <c r="J28" s="192" t="s">
        <v>236</v>
      </c>
      <c r="K28" s="192"/>
      <c r="L28" s="192"/>
      <c r="M28" s="192"/>
      <c r="N28" s="192"/>
    </row>
    <row r="29" spans="2:14" ht="24.9" customHeight="1" x14ac:dyDescent="0.3">
      <c r="B29" s="76"/>
      <c r="C29" s="101" t="s">
        <v>78</v>
      </c>
      <c r="D29" s="204" t="s">
        <v>79</v>
      </c>
      <c r="E29" s="205"/>
      <c r="F29" s="206"/>
      <c r="G29" s="100">
        <v>23</v>
      </c>
      <c r="H29" s="77" t="s">
        <v>257</v>
      </c>
      <c r="I29" s="81">
        <f t="shared" si="0"/>
        <v>3</v>
      </c>
      <c r="J29" s="192" t="s">
        <v>237</v>
      </c>
      <c r="K29" s="192"/>
      <c r="L29" s="192"/>
      <c r="M29" s="192"/>
      <c r="N29" s="192"/>
    </row>
    <row r="30" spans="2:14" ht="24.9" customHeight="1" x14ac:dyDescent="0.3">
      <c r="B30" s="76"/>
      <c r="C30" s="102" t="s">
        <v>121</v>
      </c>
      <c r="D30" s="204" t="s">
        <v>72</v>
      </c>
      <c r="E30" s="205"/>
      <c r="F30" s="206"/>
      <c r="G30" s="100">
        <v>35</v>
      </c>
      <c r="H30" s="77" t="s">
        <v>258</v>
      </c>
      <c r="I30" s="81">
        <f t="shared" si="0"/>
        <v>15</v>
      </c>
      <c r="J30" s="192" t="s">
        <v>238</v>
      </c>
      <c r="K30" s="192"/>
      <c r="L30" s="192"/>
      <c r="M30" s="192"/>
      <c r="N30" s="192"/>
    </row>
    <row r="31" spans="2:14" ht="24.9" customHeight="1" x14ac:dyDescent="0.3">
      <c r="B31" s="76"/>
      <c r="C31" s="103" t="s">
        <v>87</v>
      </c>
      <c r="D31" s="207" t="s">
        <v>248</v>
      </c>
      <c r="E31" s="208"/>
      <c r="F31" s="209"/>
      <c r="G31" s="98">
        <v>35</v>
      </c>
      <c r="H31" s="99" t="s">
        <v>90</v>
      </c>
      <c r="I31" s="81">
        <f t="shared" si="0"/>
        <v>15</v>
      </c>
      <c r="J31" s="192" t="s">
        <v>240</v>
      </c>
      <c r="K31" s="192"/>
      <c r="L31" s="192"/>
      <c r="M31" s="192"/>
      <c r="N31" s="192"/>
    </row>
    <row r="32" spans="2:14" ht="24.9" customHeight="1" x14ac:dyDescent="0.3">
      <c r="B32" s="76"/>
      <c r="C32" s="104" t="s">
        <v>161</v>
      </c>
      <c r="D32" s="207" t="s">
        <v>248</v>
      </c>
      <c r="E32" s="208"/>
      <c r="F32" s="209"/>
      <c r="G32" s="98">
        <v>36</v>
      </c>
      <c r="H32" s="99" t="s">
        <v>68</v>
      </c>
      <c r="I32" s="81">
        <f t="shared" si="0"/>
        <v>16</v>
      </c>
      <c r="J32" s="192" t="s">
        <v>241</v>
      </c>
      <c r="K32" s="192"/>
      <c r="L32" s="192"/>
      <c r="M32" s="192"/>
      <c r="N32" s="192"/>
    </row>
    <row r="33" spans="2:17" ht="41.1" customHeight="1" x14ac:dyDescent="0.3">
      <c r="B33" s="76"/>
      <c r="C33" s="103" t="s">
        <v>149</v>
      </c>
      <c r="D33" s="207" t="s">
        <v>82</v>
      </c>
      <c r="E33" s="208"/>
      <c r="F33" s="209"/>
      <c r="G33" s="98">
        <v>60</v>
      </c>
      <c r="H33" s="99" t="s">
        <v>68</v>
      </c>
      <c r="I33" s="81">
        <f t="shared" si="0"/>
        <v>40</v>
      </c>
      <c r="J33" s="210" t="s">
        <v>271</v>
      </c>
      <c r="K33" s="210"/>
      <c r="L33" s="210"/>
      <c r="M33" s="210"/>
      <c r="N33" s="210"/>
    </row>
    <row r="34" spans="2:17" ht="38.1" customHeight="1" x14ac:dyDescent="0.3">
      <c r="B34" s="76"/>
      <c r="C34" s="103" t="s">
        <v>166</v>
      </c>
      <c r="D34" s="207" t="s">
        <v>147</v>
      </c>
      <c r="E34" s="208"/>
      <c r="F34" s="209"/>
      <c r="G34" s="98">
        <v>60</v>
      </c>
      <c r="H34" s="99" t="s">
        <v>68</v>
      </c>
      <c r="I34" s="81">
        <f t="shared" si="0"/>
        <v>40</v>
      </c>
      <c r="J34" s="210" t="s">
        <v>271</v>
      </c>
      <c r="K34" s="210"/>
      <c r="L34" s="210"/>
      <c r="M34" s="210"/>
      <c r="N34" s="210"/>
    </row>
    <row r="35" spans="2:17" ht="24.9" customHeight="1" x14ac:dyDescent="0.3">
      <c r="B35" s="76"/>
      <c r="C35" s="75" t="s">
        <v>263</v>
      </c>
      <c r="D35" s="212" t="s">
        <v>147</v>
      </c>
      <c r="E35" s="213"/>
      <c r="F35" s="214"/>
      <c r="G35" s="107">
        <v>36</v>
      </c>
      <c r="H35" s="108" t="s">
        <v>148</v>
      </c>
      <c r="I35" s="109">
        <f t="shared" si="0"/>
        <v>16</v>
      </c>
      <c r="J35" s="211" t="s">
        <v>272</v>
      </c>
      <c r="K35" s="211"/>
      <c r="L35" s="211"/>
      <c r="M35" s="211"/>
      <c r="N35" s="211"/>
    </row>
    <row r="36" spans="2:17" ht="24.9" customHeight="1" x14ac:dyDescent="0.3">
      <c r="B36" s="76"/>
      <c r="C36" s="61" t="s">
        <v>50</v>
      </c>
      <c r="D36" s="32" t="s">
        <v>82</v>
      </c>
      <c r="E36" s="143"/>
      <c r="F36" s="143"/>
      <c r="G36" s="144">
        <v>53</v>
      </c>
      <c r="H36" s="145" t="s">
        <v>68</v>
      </c>
      <c r="I36" s="146">
        <f t="shared" si="0"/>
        <v>33</v>
      </c>
      <c r="J36" s="197" t="s">
        <v>285</v>
      </c>
      <c r="K36" s="197"/>
      <c r="L36" s="197"/>
      <c r="M36" s="197"/>
      <c r="N36" s="197"/>
    </row>
    <row r="37" spans="2:17" ht="24.9" customHeight="1" thickBot="1" x14ac:dyDescent="0.35">
      <c r="B37" s="76"/>
      <c r="C37" s="142"/>
      <c r="D37" s="143"/>
      <c r="E37" s="143"/>
      <c r="F37" s="143"/>
      <c r="G37" s="144"/>
      <c r="H37" s="145"/>
      <c r="I37" s="146"/>
      <c r="J37" s="147"/>
      <c r="K37" s="147"/>
      <c r="L37" s="147"/>
      <c r="M37" s="147"/>
      <c r="N37" s="147"/>
    </row>
    <row r="38" spans="2:17" ht="14.4" customHeight="1" x14ac:dyDescent="0.3">
      <c r="B38" s="76"/>
      <c r="C38" s="189" t="s">
        <v>277</v>
      </c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1"/>
    </row>
    <row r="39" spans="2:17" x14ac:dyDescent="0.3">
      <c r="B39" s="76"/>
      <c r="C39" s="198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200"/>
    </row>
    <row r="40" spans="2:17" x14ac:dyDescent="0.3">
      <c r="B40" s="76"/>
      <c r="C40" s="82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83"/>
    </row>
    <row r="41" spans="2:17" ht="36.9" customHeight="1" x14ac:dyDescent="0.3">
      <c r="B41" s="76"/>
      <c r="C41" s="148" t="s">
        <v>261</v>
      </c>
      <c r="D41" s="132" t="s">
        <v>274</v>
      </c>
      <c r="E41" s="9" t="s">
        <v>14</v>
      </c>
      <c r="F41" s="10" t="s">
        <v>273</v>
      </c>
      <c r="G41" s="12" t="s">
        <v>275</v>
      </c>
      <c r="H41" s="12" t="s">
        <v>276</v>
      </c>
      <c r="I41" s="13" t="s">
        <v>17</v>
      </c>
      <c r="J41" s="14" t="s">
        <v>268</v>
      </c>
      <c r="K41" s="15" t="s">
        <v>18</v>
      </c>
      <c r="L41" s="15" t="s">
        <v>15</v>
      </c>
      <c r="M41" s="15" t="s">
        <v>18</v>
      </c>
      <c r="N41" s="16" t="s">
        <v>269</v>
      </c>
      <c r="O41" s="83"/>
      <c r="P41" s="123" t="s">
        <v>259</v>
      </c>
      <c r="Q41" s="110" t="s">
        <v>260</v>
      </c>
    </row>
    <row r="42" spans="2:17" x14ac:dyDescent="0.3">
      <c r="C42" s="75" t="s">
        <v>130</v>
      </c>
      <c r="D42" s="131">
        <v>46216</v>
      </c>
      <c r="E42" s="51">
        <v>46238</v>
      </c>
      <c r="F42" s="41">
        <v>17</v>
      </c>
      <c r="G42" s="52">
        <v>46245</v>
      </c>
      <c r="H42" s="42">
        <v>6</v>
      </c>
      <c r="I42" s="39">
        <v>46247</v>
      </c>
      <c r="J42" s="43">
        <v>3</v>
      </c>
      <c r="K42" s="40">
        <v>46252</v>
      </c>
      <c r="L42" s="44">
        <v>4</v>
      </c>
      <c r="M42" s="130">
        <v>46252</v>
      </c>
      <c r="N42" s="44">
        <v>27</v>
      </c>
      <c r="O42" s="83"/>
      <c r="P42" s="124"/>
      <c r="Q42" s="111"/>
    </row>
    <row r="43" spans="2:17" x14ac:dyDescent="0.3">
      <c r="C43" s="75" t="s">
        <v>45</v>
      </c>
      <c r="D43" s="131">
        <v>46213</v>
      </c>
      <c r="E43" s="51">
        <v>46226</v>
      </c>
      <c r="F43" s="41">
        <v>10</v>
      </c>
      <c r="G43" s="52">
        <v>46239</v>
      </c>
      <c r="H43" s="42">
        <v>10</v>
      </c>
      <c r="I43" s="39">
        <v>46251</v>
      </c>
      <c r="J43" s="43">
        <v>9</v>
      </c>
      <c r="K43" s="40">
        <v>46253</v>
      </c>
      <c r="L43" s="44">
        <v>3</v>
      </c>
      <c r="M43" s="130">
        <v>46253</v>
      </c>
      <c r="N43" s="44">
        <v>29</v>
      </c>
      <c r="O43" s="125" t="s">
        <v>130</v>
      </c>
      <c r="P43" s="121">
        <v>1</v>
      </c>
      <c r="Q43" s="106">
        <v>1</v>
      </c>
    </row>
    <row r="44" spans="2:17" x14ac:dyDescent="0.3">
      <c r="C44" s="75" t="s">
        <v>78</v>
      </c>
      <c r="D44" s="131">
        <v>46227</v>
      </c>
      <c r="E44" s="51">
        <v>46234</v>
      </c>
      <c r="F44" s="41">
        <v>6</v>
      </c>
      <c r="G44" s="52">
        <v>46253</v>
      </c>
      <c r="H44" s="42">
        <v>14</v>
      </c>
      <c r="I44" s="39">
        <v>46255</v>
      </c>
      <c r="J44" s="43">
        <v>3</v>
      </c>
      <c r="K44" s="40">
        <v>46259</v>
      </c>
      <c r="L44" s="44">
        <v>3</v>
      </c>
      <c r="M44" s="130">
        <v>46259</v>
      </c>
      <c r="N44" s="44">
        <v>23</v>
      </c>
      <c r="O44" s="125" t="s">
        <v>45</v>
      </c>
      <c r="P44" s="121">
        <v>2</v>
      </c>
      <c r="Q44" s="106">
        <v>2</v>
      </c>
    </row>
    <row r="45" spans="2:17" x14ac:dyDescent="0.3">
      <c r="C45" s="75" t="s">
        <v>121</v>
      </c>
      <c r="D45" s="131">
        <v>46206</v>
      </c>
      <c r="E45" s="51">
        <v>46220</v>
      </c>
      <c r="F45" s="41">
        <v>11</v>
      </c>
      <c r="G45" s="52">
        <v>46247</v>
      </c>
      <c r="H45" s="42">
        <v>20</v>
      </c>
      <c r="I45" s="39">
        <v>46253</v>
      </c>
      <c r="J45" s="43">
        <v>5</v>
      </c>
      <c r="K45" s="40">
        <v>46254</v>
      </c>
      <c r="L45" s="44">
        <v>2</v>
      </c>
      <c r="M45" s="130">
        <v>46254</v>
      </c>
      <c r="N45" s="44">
        <v>35</v>
      </c>
      <c r="O45" s="125" t="s">
        <v>78</v>
      </c>
      <c r="P45" s="121">
        <v>5</v>
      </c>
      <c r="Q45" s="106">
        <v>4.5</v>
      </c>
    </row>
    <row r="46" spans="2:17" x14ac:dyDescent="0.3">
      <c r="C46" s="75" t="s">
        <v>87</v>
      </c>
      <c r="D46" s="131">
        <v>46206</v>
      </c>
      <c r="E46" s="51">
        <v>46240</v>
      </c>
      <c r="F46" s="41">
        <v>25</v>
      </c>
      <c r="G46" s="52">
        <v>46248</v>
      </c>
      <c r="H46" s="42">
        <v>7</v>
      </c>
      <c r="I46" s="39">
        <v>46248</v>
      </c>
      <c r="J46" s="43">
        <v>1</v>
      </c>
      <c r="K46" s="40">
        <v>46254</v>
      </c>
      <c r="L46" s="44">
        <v>5</v>
      </c>
      <c r="M46" s="130">
        <v>46254</v>
      </c>
      <c r="N46" s="44">
        <v>35</v>
      </c>
      <c r="O46" s="126" t="s">
        <v>121</v>
      </c>
      <c r="P46" s="122">
        <v>3</v>
      </c>
      <c r="Q46" s="105">
        <v>3</v>
      </c>
    </row>
    <row r="47" spans="2:17" x14ac:dyDescent="0.3">
      <c r="C47" s="112" t="s">
        <v>161</v>
      </c>
      <c r="D47" s="131">
        <v>46206</v>
      </c>
      <c r="E47" s="51">
        <v>46226</v>
      </c>
      <c r="F47" s="41">
        <v>15</v>
      </c>
      <c r="G47" s="52">
        <v>46254</v>
      </c>
      <c r="H47" s="42">
        <v>21</v>
      </c>
      <c r="I47" s="39">
        <v>46254</v>
      </c>
      <c r="J47" s="43">
        <v>1</v>
      </c>
      <c r="K47" s="40">
        <v>46255</v>
      </c>
      <c r="L47" s="44">
        <v>2</v>
      </c>
      <c r="M47" s="130">
        <v>46255</v>
      </c>
      <c r="N47" s="44">
        <v>36</v>
      </c>
      <c r="O47" s="125" t="s">
        <v>87</v>
      </c>
      <c r="P47" s="122">
        <v>3</v>
      </c>
      <c r="Q47" s="105">
        <v>2</v>
      </c>
    </row>
    <row r="48" spans="2:17" x14ac:dyDescent="0.3">
      <c r="C48" s="75" t="s">
        <v>149</v>
      </c>
      <c r="D48" s="131">
        <v>46177</v>
      </c>
      <c r="E48" s="51">
        <v>46237</v>
      </c>
      <c r="F48" s="41">
        <v>43</v>
      </c>
      <c r="G48" s="52">
        <v>46253</v>
      </c>
      <c r="H48" s="42">
        <v>13</v>
      </c>
      <c r="I48" s="39">
        <v>46259</v>
      </c>
      <c r="J48" s="43">
        <v>5</v>
      </c>
      <c r="K48" s="40">
        <v>46260</v>
      </c>
      <c r="L48" s="44">
        <v>2</v>
      </c>
      <c r="M48" s="130">
        <v>46260</v>
      </c>
      <c r="N48" s="44">
        <v>60</v>
      </c>
      <c r="O48" s="127" t="s">
        <v>161</v>
      </c>
      <c r="P48" s="122">
        <v>2</v>
      </c>
      <c r="Q48" s="105">
        <v>2</v>
      </c>
    </row>
    <row r="49" spans="2:17" x14ac:dyDescent="0.3">
      <c r="C49" s="75" t="s">
        <v>166</v>
      </c>
      <c r="D49" s="131">
        <v>46177</v>
      </c>
      <c r="E49" s="51">
        <v>46255</v>
      </c>
      <c r="F49" s="41">
        <v>57</v>
      </c>
      <c r="G49" s="52">
        <v>46259</v>
      </c>
      <c r="H49" s="42">
        <v>3</v>
      </c>
      <c r="I49" s="39">
        <v>46260</v>
      </c>
      <c r="J49" s="43">
        <v>2</v>
      </c>
      <c r="K49" s="40">
        <v>46260</v>
      </c>
      <c r="L49" s="44">
        <v>1</v>
      </c>
      <c r="M49" s="130">
        <v>46260</v>
      </c>
      <c r="N49" s="44">
        <v>60</v>
      </c>
      <c r="O49" s="125" t="s">
        <v>149</v>
      </c>
      <c r="P49" s="122">
        <v>2</v>
      </c>
      <c r="Q49" s="105">
        <v>2</v>
      </c>
    </row>
    <row r="50" spans="2:17" x14ac:dyDescent="0.3">
      <c r="C50" s="75" t="s">
        <v>263</v>
      </c>
      <c r="D50" s="131">
        <v>46205</v>
      </c>
      <c r="E50" s="51">
        <v>46234</v>
      </c>
      <c r="F50" s="41">
        <v>22</v>
      </c>
      <c r="G50" s="52">
        <v>46248</v>
      </c>
      <c r="H50" s="42">
        <v>11</v>
      </c>
      <c r="I50" s="39">
        <v>46253</v>
      </c>
      <c r="J50" s="43">
        <v>4</v>
      </c>
      <c r="K50" s="40">
        <v>46254</v>
      </c>
      <c r="L50" s="44">
        <v>2</v>
      </c>
      <c r="M50" s="130">
        <v>46254</v>
      </c>
      <c r="N50" s="44">
        <v>36</v>
      </c>
      <c r="O50" s="125" t="s">
        <v>166</v>
      </c>
      <c r="P50" s="122">
        <v>3</v>
      </c>
      <c r="Q50" s="105">
        <v>3</v>
      </c>
    </row>
    <row r="51" spans="2:17" x14ac:dyDescent="0.3">
      <c r="C51" s="75" t="s">
        <v>50</v>
      </c>
      <c r="D51" s="131">
        <v>46177</v>
      </c>
      <c r="E51" s="51">
        <v>46241</v>
      </c>
      <c r="F51" s="41">
        <v>47</v>
      </c>
      <c r="G51" s="52">
        <v>46247</v>
      </c>
      <c r="H51" s="42">
        <v>5</v>
      </c>
      <c r="I51" s="39">
        <v>46251</v>
      </c>
      <c r="J51" s="43">
        <v>3</v>
      </c>
      <c r="K51" s="40"/>
      <c r="L51" s="44"/>
      <c r="M51" s="130">
        <v>46251</v>
      </c>
      <c r="N51" s="44">
        <v>53</v>
      </c>
      <c r="O51" s="125"/>
      <c r="P51" s="122"/>
      <c r="Q51" s="105"/>
    </row>
    <row r="52" spans="2:17" x14ac:dyDescent="0.3">
      <c r="C52" s="82" t="s">
        <v>278</v>
      </c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83"/>
      <c r="O52" s="125" t="s">
        <v>146</v>
      </c>
      <c r="P52" s="122">
        <v>2</v>
      </c>
      <c r="Q52" s="105">
        <v>1.5</v>
      </c>
    </row>
    <row r="53" spans="2:17" x14ac:dyDescent="0.3">
      <c r="B53" s="76"/>
      <c r="C53" s="82" t="s">
        <v>279</v>
      </c>
      <c r="D53" s="76"/>
      <c r="E53" s="76"/>
      <c r="F53" s="76"/>
      <c r="G53" s="76"/>
      <c r="H53" s="76"/>
      <c r="I53" s="76"/>
      <c r="J53" s="76"/>
      <c r="K53" s="120">
        <v>21</v>
      </c>
      <c r="L53" s="76"/>
      <c r="M53" s="76"/>
      <c r="N53" s="83"/>
      <c r="O53" s="76"/>
      <c r="P53" s="76"/>
      <c r="Q53" s="76"/>
    </row>
    <row r="54" spans="2:17" x14ac:dyDescent="0.3">
      <c r="B54" s="76"/>
      <c r="C54" s="82" t="s">
        <v>281</v>
      </c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83"/>
      <c r="O54" s="76"/>
      <c r="P54" s="76"/>
      <c r="Q54" s="76"/>
    </row>
    <row r="55" spans="2:17" ht="15" thickBot="1" x14ac:dyDescent="0.35">
      <c r="B55" s="76"/>
      <c r="C55" s="133" t="s">
        <v>280</v>
      </c>
      <c r="D55" s="134"/>
      <c r="E55" s="134"/>
      <c r="F55" s="134"/>
      <c r="G55" s="134"/>
      <c r="H55" s="134"/>
      <c r="I55" s="85"/>
      <c r="J55" s="85"/>
      <c r="K55" s="85"/>
      <c r="L55" s="85"/>
      <c r="M55" s="85"/>
      <c r="N55" s="86"/>
      <c r="O55" s="76"/>
      <c r="P55" s="76"/>
      <c r="Q55" s="76"/>
    </row>
    <row r="56" spans="2:17" x14ac:dyDescent="0.3">
      <c r="B56" s="76"/>
      <c r="C56" s="82"/>
      <c r="D56" s="76"/>
      <c r="E56" s="76"/>
      <c r="F56" s="76"/>
      <c r="G56" s="76"/>
      <c r="H56" s="76"/>
      <c r="I56" s="82"/>
      <c r="J56" s="76"/>
      <c r="K56" s="76"/>
      <c r="L56" s="76"/>
      <c r="M56" s="76"/>
      <c r="N56" s="83"/>
    </row>
    <row r="57" spans="2:17" x14ac:dyDescent="0.3">
      <c r="B57" s="76"/>
      <c r="C57" s="82"/>
      <c r="D57" s="76"/>
      <c r="E57" s="76"/>
      <c r="F57" s="76"/>
      <c r="G57" s="76"/>
      <c r="H57" s="76"/>
      <c r="I57" s="82"/>
      <c r="J57" s="76"/>
      <c r="K57" s="76"/>
      <c r="L57" s="76"/>
      <c r="M57" s="76"/>
      <c r="N57" s="83"/>
    </row>
    <row r="58" spans="2:17" x14ac:dyDescent="0.3">
      <c r="B58" s="76"/>
      <c r="C58" s="82"/>
      <c r="D58" s="76"/>
      <c r="E58" s="76"/>
      <c r="F58" s="76"/>
      <c r="G58" s="76"/>
      <c r="H58" s="76"/>
      <c r="I58" s="82"/>
      <c r="J58" s="76"/>
      <c r="K58" s="76"/>
      <c r="L58" s="76"/>
      <c r="M58" s="76"/>
      <c r="N58" s="83"/>
    </row>
    <row r="59" spans="2:17" x14ac:dyDescent="0.3">
      <c r="B59" s="76"/>
      <c r="C59" s="82"/>
      <c r="D59" s="76"/>
      <c r="E59" s="76"/>
      <c r="F59" s="76"/>
      <c r="G59" s="76"/>
      <c r="H59" s="76"/>
      <c r="I59" s="82"/>
      <c r="J59" s="76"/>
      <c r="K59" s="76"/>
      <c r="L59" s="76"/>
      <c r="M59" s="76"/>
      <c r="N59" s="83"/>
    </row>
    <row r="60" spans="2:17" x14ac:dyDescent="0.3">
      <c r="B60" s="76"/>
      <c r="C60" s="82"/>
      <c r="D60" s="76"/>
      <c r="E60" s="76"/>
      <c r="F60" s="76"/>
      <c r="G60" s="76"/>
      <c r="H60" s="76"/>
      <c r="I60" s="82"/>
      <c r="J60" s="76"/>
      <c r="K60" s="76"/>
      <c r="L60" s="76"/>
      <c r="M60" s="76"/>
      <c r="N60" s="83"/>
    </row>
    <row r="61" spans="2:17" ht="37.799999999999997" x14ac:dyDescent="0.3">
      <c r="B61" s="76"/>
      <c r="C61" s="82"/>
      <c r="D61" s="76"/>
      <c r="E61" s="76"/>
      <c r="F61" s="76"/>
      <c r="G61" s="76"/>
      <c r="H61" s="76"/>
      <c r="I61" s="82"/>
      <c r="J61" s="76"/>
      <c r="K61" s="128" t="s">
        <v>19</v>
      </c>
      <c r="L61" s="76"/>
      <c r="M61" s="76"/>
      <c r="N61" s="83"/>
    </row>
    <row r="62" spans="2:17" x14ac:dyDescent="0.3">
      <c r="B62" s="76"/>
      <c r="C62" s="82"/>
      <c r="D62" s="76"/>
      <c r="E62" s="76"/>
      <c r="F62" s="76"/>
      <c r="G62" s="76"/>
      <c r="H62" s="76"/>
      <c r="I62" s="82"/>
      <c r="J62" s="76"/>
      <c r="K62" s="129" t="s">
        <v>99</v>
      </c>
      <c r="L62" s="120" t="e">
        <f>IF(#REF!="","",NETWORKDAYS(#REF!,#REF!))</f>
        <v>#REF!</v>
      </c>
      <c r="M62" s="76"/>
      <c r="N62" s="83"/>
    </row>
    <row r="63" spans="2:17" x14ac:dyDescent="0.3">
      <c r="B63" s="76"/>
      <c r="C63" s="82"/>
      <c r="D63" s="76"/>
      <c r="E63" s="76"/>
      <c r="F63" s="76"/>
      <c r="G63" s="76"/>
      <c r="H63" s="76"/>
      <c r="I63" s="82"/>
      <c r="J63" s="76"/>
      <c r="K63" s="129" t="s">
        <v>99</v>
      </c>
      <c r="L63" s="120" t="e">
        <f>IF(#REF!="","",NETWORKDAYS(#REF!,#REF!))</f>
        <v>#REF!</v>
      </c>
      <c r="M63" s="76"/>
      <c r="N63" s="83"/>
    </row>
    <row r="64" spans="2:17" x14ac:dyDescent="0.3">
      <c r="B64" s="76"/>
      <c r="C64" s="82"/>
      <c r="D64" s="76"/>
      <c r="E64" s="76"/>
      <c r="F64" s="76"/>
      <c r="G64" s="76"/>
      <c r="H64" s="76"/>
      <c r="I64" s="82"/>
      <c r="J64" s="76"/>
      <c r="K64" s="129" t="s">
        <v>99</v>
      </c>
      <c r="L64" s="120" t="e">
        <f>IF(#REF!="","",NETWORKDAYS(#REF!,#REF!))</f>
        <v>#REF!</v>
      </c>
      <c r="M64" s="76"/>
      <c r="N64" s="83"/>
    </row>
    <row r="65" spans="2:14" x14ac:dyDescent="0.3">
      <c r="B65" s="76"/>
      <c r="C65" s="82"/>
      <c r="D65" s="76"/>
      <c r="E65" s="76"/>
      <c r="F65" s="76"/>
      <c r="G65" s="76"/>
      <c r="H65" s="76"/>
      <c r="I65" s="82"/>
      <c r="J65" s="76"/>
      <c r="K65" s="129" t="s">
        <v>99</v>
      </c>
      <c r="L65" s="120" t="e">
        <f>IF(#REF!="","",NETWORKDAYS(#REF!,#REF!))</f>
        <v>#REF!</v>
      </c>
      <c r="M65" s="76"/>
      <c r="N65" s="83"/>
    </row>
    <row r="66" spans="2:14" x14ac:dyDescent="0.3">
      <c r="B66" s="76"/>
      <c r="C66" s="82"/>
      <c r="D66" s="76"/>
      <c r="E66" s="76"/>
      <c r="F66" s="76"/>
      <c r="G66" s="76"/>
      <c r="H66" s="76"/>
      <c r="I66" s="82"/>
      <c r="J66" s="76"/>
      <c r="K66" s="129" t="s">
        <v>99</v>
      </c>
      <c r="L66" s="120" t="e">
        <f>IF(#REF!="","",NETWORKDAYS(#REF!,#REF!))</f>
        <v>#REF!</v>
      </c>
      <c r="M66" s="76"/>
      <c r="N66" s="83"/>
    </row>
    <row r="67" spans="2:14" x14ac:dyDescent="0.3">
      <c r="B67" s="76"/>
      <c r="C67" s="82"/>
      <c r="D67" s="76"/>
      <c r="E67" s="76"/>
      <c r="F67" s="76"/>
      <c r="G67" s="76"/>
      <c r="H67" s="76"/>
      <c r="I67" s="82"/>
      <c r="J67" s="76"/>
      <c r="K67" s="129" t="s">
        <v>99</v>
      </c>
      <c r="L67" s="120" t="e">
        <f>IF(#REF!="","",NETWORKDAYS(#REF!,#REF!))</f>
        <v>#REF!</v>
      </c>
      <c r="M67" s="76"/>
      <c r="N67" s="83"/>
    </row>
    <row r="68" spans="2:14" x14ac:dyDescent="0.3">
      <c r="B68" s="76"/>
      <c r="C68" s="82"/>
      <c r="D68" s="76"/>
      <c r="E68" s="76"/>
      <c r="F68" s="76"/>
      <c r="G68" s="76"/>
      <c r="H68" s="76"/>
      <c r="I68" s="82"/>
      <c r="J68" s="76"/>
      <c r="K68" s="129" t="s">
        <v>99</v>
      </c>
      <c r="L68" s="120" t="e">
        <f>IF(#REF!="","",NETWORKDAYS(#REF!,#REF!))</f>
        <v>#REF!</v>
      </c>
      <c r="M68" s="76"/>
      <c r="N68" s="83"/>
    </row>
    <row r="69" spans="2:14" x14ac:dyDescent="0.3">
      <c r="B69" s="76"/>
      <c r="C69" s="82"/>
      <c r="D69" s="76"/>
      <c r="E69" s="76"/>
      <c r="F69" s="76"/>
      <c r="G69" s="76"/>
      <c r="H69" s="76"/>
      <c r="I69" s="82"/>
      <c r="J69" s="76"/>
      <c r="K69" s="129" t="s">
        <v>99</v>
      </c>
      <c r="L69" s="120" t="e">
        <f>IF(#REF!="","",NETWORKDAYS(#REF!,#REF!))</f>
        <v>#REF!</v>
      </c>
      <c r="M69" s="76"/>
      <c r="N69" s="83"/>
    </row>
    <row r="70" spans="2:14" x14ac:dyDescent="0.3">
      <c r="B70" s="76"/>
      <c r="C70" s="82"/>
      <c r="D70" s="76"/>
      <c r="E70" s="76"/>
      <c r="F70" s="76"/>
      <c r="G70" s="76"/>
      <c r="H70" s="76"/>
      <c r="I70" s="82"/>
      <c r="J70" s="76"/>
      <c r="K70" s="129" t="s">
        <v>99</v>
      </c>
      <c r="L70" s="120" t="e">
        <f>IF(#REF!="","",NETWORKDAYS(#REF!,#REF!))</f>
        <v>#REF!</v>
      </c>
      <c r="M70" s="76"/>
      <c r="N70" s="83"/>
    </row>
    <row r="71" spans="2:14" x14ac:dyDescent="0.3">
      <c r="B71" s="76"/>
      <c r="C71" s="82"/>
      <c r="D71" s="76"/>
      <c r="E71" s="76"/>
      <c r="F71" s="76"/>
      <c r="G71" s="76"/>
      <c r="H71" s="76"/>
      <c r="I71" s="82"/>
      <c r="J71" s="76"/>
      <c r="K71" s="129" t="s">
        <v>99</v>
      </c>
      <c r="L71" s="120" t="e">
        <f>IF(K53="","",NETWORKDAYS(#REF!,K53))</f>
        <v>#REF!</v>
      </c>
      <c r="M71" s="76"/>
      <c r="N71" s="83"/>
    </row>
    <row r="72" spans="2:14" x14ac:dyDescent="0.3">
      <c r="B72" s="76"/>
      <c r="C72" s="82"/>
      <c r="D72" s="76"/>
      <c r="E72" s="76"/>
      <c r="F72" s="76"/>
      <c r="G72" s="76"/>
      <c r="H72" s="76"/>
      <c r="I72" s="82"/>
      <c r="J72" s="76"/>
      <c r="K72" s="76"/>
      <c r="L72" s="76"/>
      <c r="M72" s="76"/>
      <c r="N72" s="83"/>
    </row>
    <row r="73" spans="2:14" x14ac:dyDescent="0.3">
      <c r="B73" s="76"/>
      <c r="C73" s="82"/>
      <c r="D73" s="76"/>
      <c r="E73" s="76"/>
      <c r="F73" s="76"/>
      <c r="G73" s="76"/>
      <c r="H73" s="76"/>
      <c r="I73" s="82"/>
      <c r="J73" s="76"/>
      <c r="K73" s="76"/>
      <c r="L73" s="76"/>
      <c r="M73" s="76"/>
      <c r="N73" s="83"/>
    </row>
    <row r="74" spans="2:14" x14ac:dyDescent="0.3">
      <c r="B74" s="76"/>
      <c r="C74" s="82"/>
      <c r="D74" s="76"/>
      <c r="E74" s="76"/>
      <c r="F74" s="76"/>
      <c r="G74" s="76"/>
      <c r="H74" s="76"/>
      <c r="I74" s="82"/>
      <c r="J74" s="76"/>
      <c r="K74" s="76"/>
      <c r="L74" s="76"/>
      <c r="M74" s="76"/>
      <c r="N74" s="83"/>
    </row>
    <row r="75" spans="2:14" ht="15" thickBot="1" x14ac:dyDescent="0.35">
      <c r="B75" s="76"/>
      <c r="C75" s="84"/>
      <c r="D75" s="85"/>
      <c r="E75" s="85"/>
      <c r="F75" s="85"/>
      <c r="G75" s="85"/>
      <c r="H75" s="85"/>
      <c r="I75" s="84"/>
      <c r="J75" s="85"/>
      <c r="K75" s="85"/>
      <c r="L75" s="85"/>
      <c r="M75" s="85"/>
      <c r="N75" s="86"/>
    </row>
  </sheetData>
  <mergeCells count="27">
    <mergeCell ref="C39:N39"/>
    <mergeCell ref="D27:F27"/>
    <mergeCell ref="D28:F28"/>
    <mergeCell ref="D29:F29"/>
    <mergeCell ref="D30:F30"/>
    <mergeCell ref="D31:F31"/>
    <mergeCell ref="J32:N32"/>
    <mergeCell ref="J33:N33"/>
    <mergeCell ref="J34:N34"/>
    <mergeCell ref="J35:N35"/>
    <mergeCell ref="D32:F32"/>
    <mergeCell ref="D33:F33"/>
    <mergeCell ref="D34:F34"/>
    <mergeCell ref="D35:F35"/>
    <mergeCell ref="J27:N27"/>
    <mergeCell ref="J28:N28"/>
    <mergeCell ref="I4:N5"/>
    <mergeCell ref="C2:N2"/>
    <mergeCell ref="C3:N3"/>
    <mergeCell ref="J26:N26"/>
    <mergeCell ref="C38:N38"/>
    <mergeCell ref="J29:N29"/>
    <mergeCell ref="J30:N30"/>
    <mergeCell ref="J31:N31"/>
    <mergeCell ref="C25:N25"/>
    <mergeCell ref="D26:F26"/>
    <mergeCell ref="J36:N36"/>
  </mergeCells>
  <conditionalFormatting sqref="K61">
    <cfRule type="containsText" dxfId="8" priority="33" operator="containsText" text="ACA">
      <formula>NOT(ISERROR(SEARCH("ACA",K61)))</formula>
    </cfRule>
    <cfRule type="containsText" dxfId="7" priority="34" operator="containsText" text="TER">
      <formula>NOT(ISERROR(SEARCH("TER",K61)))</formula>
    </cfRule>
    <cfRule type="containsText" dxfId="6" priority="35" operator="containsText" text="MON">
      <formula>NOT(ISERROR(SEARCH("MON",K61)))</formula>
    </cfRule>
    <cfRule type="containsText" dxfId="5" priority="36" operator="containsText" text="TEJE">
      <formula>NOT(ISERROR(SEARCH("TEJE",K61)))</formula>
    </cfRule>
    <cfRule type="containsText" dxfId="4" priority="37" operator="containsText" text="CA">
      <formula>NOT(ISERROR(SEARCH("CA",K61)))</formula>
    </cfRule>
  </conditionalFormatting>
  <conditionalFormatting sqref="K61:K71">
    <cfRule type="containsText" dxfId="3" priority="29" operator="containsText" text="NO EFICIENTE">
      <formula>NOT(ISERROR(SEARCH("NO EFICIENTE",K61)))</formula>
    </cfRule>
    <cfRule type="containsText" dxfId="2" priority="30" operator="containsText" text="EFICIENTE">
      <formula>NOT(ISERROR(SEARCH("EFICIENTE",K61)))</formula>
    </cfRule>
    <cfRule type="containsText" dxfId="1" priority="31" operator="containsText" text="NO">
      <formula>NOT(ISERROR(SEARCH("NO",K61)))</formula>
    </cfRule>
    <cfRule type="containsText" dxfId="0" priority="32" operator="containsText" text="EFICIENTE">
      <formula>NOT(ISERROR(SEARCH("EFICIENTE",K61)))</formula>
    </cfRule>
  </conditionalFormatting>
  <hyperlinks>
    <hyperlink ref="C28" r:id="rId1" location="'OP18 JUL '!A1" xr:uid="{00000000-0004-0000-0100-000000000000}"/>
    <hyperlink ref="C29" r:id="rId2" location="'OP38 JUL '!A1" xr:uid="{00000000-0004-0000-0100-000001000000}"/>
    <hyperlink ref="C27" r:id="rId3" location="'OP24 JUL '!A1" xr:uid="{00000000-0004-0000-0100-000002000000}"/>
    <hyperlink ref="C31" r:id="rId4" location="'OP06 JUL '!A1" xr:uid="{00000000-0004-0000-0100-000004000000}"/>
    <hyperlink ref="C30" r:id="rId5" location="'OP01 JUL '!A1" xr:uid="{00000000-0004-0000-0100-000005000000}"/>
    <hyperlink ref="C33" r:id="rId6" location="'OP24 JUN'!A1" xr:uid="{00000000-0004-0000-0100-000006000000}"/>
    <hyperlink ref="C34" r:id="rId7" location="'OP29 JUN '!A1" xr:uid="{00000000-0004-0000-0100-000007000000}"/>
    <hyperlink ref="O50" r:id="rId8" location="'OP29 JUN '!A1" xr:uid="{BFC82B54-BA19-4E5C-82B3-4475C0CAEF85}"/>
    <hyperlink ref="O49" r:id="rId9" location="'OP24 JUN'!A1" xr:uid="{AFEE7299-27C6-4849-A1BF-B3D2A941AED8}"/>
    <hyperlink ref="O46" r:id="rId10" location="'OP01 JUL '!A1" xr:uid="{4904C199-DF25-4DDD-AC0B-43FF61770503}"/>
    <hyperlink ref="O47" r:id="rId11" location="'OP06 JUL '!A1" xr:uid="{DF3C2ACC-1ED1-4B45-B521-17B705C219F1}"/>
    <hyperlink ref="O52" r:id="rId12" location="'OP10 JUL '!A1" xr:uid="{868B3737-8A4B-4B35-A543-B90F5AD3742E}"/>
    <hyperlink ref="O43" r:id="rId13" location="'OP24 JUL '!A1" xr:uid="{DA78AD12-F38A-432B-A833-C856FB6CD24F}"/>
    <hyperlink ref="O45" r:id="rId14" location="'OP38 JUL '!A1" xr:uid="{B98A55C8-8B8E-4CDC-8786-8B9C4C630D4E}"/>
    <hyperlink ref="O44" r:id="rId15" location="'OP18 JUL '!A1" xr:uid="{A83C2068-9CE8-449E-B151-57BA3F07D71D}"/>
    <hyperlink ref="C42" r:id="rId16" location="'OP24 JUL '!A1" xr:uid="{92DE7F56-B631-4908-8E52-D04BD37F9BDF}"/>
    <hyperlink ref="C43" r:id="rId17" location="'OP18 JUL '!A1" xr:uid="{9E6641C6-72C3-4DFE-BC16-BEDE769C6BEB}"/>
    <hyperlink ref="C44" r:id="rId18" location="'OP38 JUL '!A1" xr:uid="{07881264-4911-45FF-8F90-6A7F22761E3B}"/>
    <hyperlink ref="C45" r:id="rId19" location="'OP01 JUL '!A1" xr:uid="{CDB3A56E-529C-486E-BEBF-355C6DF2D0F2}"/>
    <hyperlink ref="C46" r:id="rId20" location="'OP06 JUL '!A1" xr:uid="{4CEFF063-853C-405D-864B-76E01CD73355}"/>
    <hyperlink ref="C47" r:id="rId21" location="'OP08 JUL '!A1" xr:uid="{CFB470B4-B51F-458B-8BD6-264800687DE4}"/>
    <hyperlink ref="C48" r:id="rId22" location="'OP24 JUN'!A1" xr:uid="{9156B430-A5BF-406E-B6A6-303EEC340C14}"/>
    <hyperlink ref="C49" r:id="rId23" location="'OP29 JUN '!A1" xr:uid="{1C09C227-3E1B-4A38-874B-5C6BF948D65C}"/>
    <hyperlink ref="C50" r:id="rId24" location="'OP10 27-01JUL '!A1" display="OP10 JUL" xr:uid="{87A2F986-6DD5-4B56-B951-BD49859DAB0D}"/>
    <hyperlink ref="C35" r:id="rId25" location="'OP10 27-01JUL '!A1" display="OP10 JUL" xr:uid="{F70B274F-411F-4A92-A32A-93ADBC416EC0}"/>
    <hyperlink ref="C51" r:id="rId26" location="'OP23 JUN'!A1" xr:uid="{FF44889D-A111-4ADC-9C0F-11593F702968}"/>
    <hyperlink ref="C36" r:id="rId27" location="'OP23 JUN'!A1" xr:uid="{716E2E6A-03E2-42A6-9066-EF145D2F0E24}"/>
  </hyperlinks>
  <pageMargins left="0.7" right="0.7" top="0.75" bottom="0.75" header="0.3" footer="0.3"/>
  <pageSetup paperSize="9" orientation="portrait" r:id="rId28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10D4-B5B4-4F9A-B17B-33179AD800CC}">
  <dimension ref="A1:W59"/>
  <sheetViews>
    <sheetView tabSelected="1" zoomScale="84" zoomScaleNormal="84" workbookViewId="0">
      <selection activeCell="N44" sqref="N44"/>
    </sheetView>
  </sheetViews>
  <sheetFormatPr baseColWidth="10" defaultRowHeight="14.4" x14ac:dyDescent="0.3"/>
  <cols>
    <col min="19" max="19" width="29" customWidth="1"/>
    <col min="20" max="20" width="16.88671875" style="153" customWidth="1"/>
    <col min="21" max="21" width="20.109375" style="153" customWidth="1"/>
    <col min="22" max="22" width="20.109375" customWidth="1"/>
  </cols>
  <sheetData>
    <row r="1" spans="1:23" x14ac:dyDescent="0.3">
      <c r="L1" t="s">
        <v>286</v>
      </c>
    </row>
    <row r="2" spans="1:23" ht="15" thickBot="1" x14ac:dyDescent="0.35">
      <c r="H2" t="s">
        <v>287</v>
      </c>
    </row>
    <row r="3" spans="1:23" ht="29.4" thickBot="1" x14ac:dyDescent="0.35">
      <c r="G3" s="88" t="s">
        <v>215</v>
      </c>
      <c r="H3" s="91" t="s">
        <v>220</v>
      </c>
      <c r="I3" s="92" t="s">
        <v>219</v>
      </c>
      <c r="M3" t="s">
        <v>288</v>
      </c>
    </row>
    <row r="4" spans="1:23" ht="15" thickBot="1" x14ac:dyDescent="0.35">
      <c r="G4" s="95">
        <v>53</v>
      </c>
      <c r="H4" s="93">
        <v>26</v>
      </c>
      <c r="I4" s="94">
        <v>10</v>
      </c>
    </row>
    <row r="5" spans="1:23" ht="15" thickBot="1" x14ac:dyDescent="0.35"/>
    <row r="6" spans="1:23" ht="18" x14ac:dyDescent="0.35">
      <c r="A6" s="149"/>
      <c r="B6" s="150"/>
      <c r="C6" s="150"/>
      <c r="D6" s="150"/>
      <c r="E6" s="150"/>
      <c r="F6" s="151"/>
      <c r="G6" s="149"/>
      <c r="H6" s="150"/>
      <c r="I6" s="150"/>
      <c r="J6" s="150"/>
      <c r="K6" s="150"/>
      <c r="L6" s="151"/>
      <c r="M6" s="149"/>
      <c r="N6" s="150"/>
      <c r="O6" s="150"/>
      <c r="P6" s="150"/>
      <c r="Q6" s="151"/>
      <c r="S6" s="154" t="s">
        <v>289</v>
      </c>
      <c r="T6" s="154" t="s">
        <v>290</v>
      </c>
      <c r="U6" s="154" t="s">
        <v>291</v>
      </c>
      <c r="V6" s="154" t="s">
        <v>298</v>
      </c>
      <c r="W6" s="152"/>
    </row>
    <row r="7" spans="1:23" ht="25.8" x14ac:dyDescent="0.35">
      <c r="A7" s="82"/>
      <c r="B7" s="76"/>
      <c r="C7" s="76"/>
      <c r="D7" s="76"/>
      <c r="E7" s="76"/>
      <c r="F7" s="83"/>
      <c r="G7" s="82"/>
      <c r="H7" s="76"/>
      <c r="I7" s="76"/>
      <c r="J7" s="76"/>
      <c r="K7" s="76"/>
      <c r="L7" s="83"/>
      <c r="M7" s="82"/>
      <c r="N7" s="76"/>
      <c r="O7" s="76"/>
      <c r="P7" s="76"/>
      <c r="Q7" s="83"/>
      <c r="S7" s="155" t="s">
        <v>292</v>
      </c>
      <c r="T7" s="156">
        <v>0.55000000000000004</v>
      </c>
      <c r="U7" s="156">
        <v>0.72</v>
      </c>
      <c r="V7" s="157" t="s">
        <v>296</v>
      </c>
      <c r="W7" s="152"/>
    </row>
    <row r="8" spans="1:23" ht="18" x14ac:dyDescent="0.35">
      <c r="A8" s="82"/>
      <c r="B8" s="76"/>
      <c r="C8" s="76"/>
      <c r="D8" s="76"/>
      <c r="E8" s="76"/>
      <c r="F8" s="83"/>
      <c r="G8" s="82"/>
      <c r="H8" s="76"/>
      <c r="I8" s="76"/>
      <c r="J8" s="76"/>
      <c r="K8" s="76"/>
      <c r="L8" s="83"/>
      <c r="M8" s="82" t="s">
        <v>297</v>
      </c>
      <c r="N8" s="76"/>
      <c r="O8" s="76"/>
      <c r="P8" s="76"/>
      <c r="Q8" s="83"/>
      <c r="S8" s="155" t="s">
        <v>98</v>
      </c>
      <c r="T8" s="154">
        <v>26</v>
      </c>
      <c r="U8" s="154">
        <v>26</v>
      </c>
      <c r="V8" s="155"/>
      <c r="W8" s="152"/>
    </row>
    <row r="9" spans="1:23" ht="18" x14ac:dyDescent="0.35">
      <c r="A9" s="82"/>
      <c r="B9" s="76"/>
      <c r="C9" s="76"/>
      <c r="D9" s="76"/>
      <c r="E9" s="76"/>
      <c r="F9" s="83"/>
      <c r="G9" s="82"/>
      <c r="H9" s="76"/>
      <c r="I9" s="76"/>
      <c r="J9" s="76"/>
      <c r="K9" s="76"/>
      <c r="L9" s="83"/>
      <c r="M9" s="82"/>
      <c r="N9" s="76"/>
      <c r="O9" s="76"/>
      <c r="P9" s="76"/>
      <c r="Q9" s="83"/>
      <c r="S9" s="155" t="s">
        <v>304</v>
      </c>
      <c r="T9" s="154">
        <v>21</v>
      </c>
      <c r="U9" s="154">
        <v>10</v>
      </c>
      <c r="V9" s="155"/>
      <c r="W9" s="159"/>
    </row>
    <row r="10" spans="1:23" ht="25.8" x14ac:dyDescent="0.35">
      <c r="A10" s="82"/>
      <c r="B10" s="76"/>
      <c r="C10" s="76"/>
      <c r="D10" s="76"/>
      <c r="E10" s="76"/>
      <c r="F10" s="83"/>
      <c r="G10" s="82"/>
      <c r="H10" s="76"/>
      <c r="I10" s="76"/>
      <c r="J10" s="76"/>
      <c r="K10" s="76"/>
      <c r="L10" s="83"/>
      <c r="M10" s="82"/>
      <c r="N10" s="76"/>
      <c r="O10" s="76"/>
      <c r="P10" s="76"/>
      <c r="Q10" s="83"/>
      <c r="S10" s="155" t="s">
        <v>293</v>
      </c>
      <c r="T10" s="158" t="s">
        <v>295</v>
      </c>
      <c r="U10" s="158" t="s">
        <v>301</v>
      </c>
      <c r="V10" s="160" t="s">
        <v>302</v>
      </c>
      <c r="W10" s="152"/>
    </row>
    <row r="11" spans="1:23" ht="25.8" x14ac:dyDescent="0.35">
      <c r="A11" s="82"/>
      <c r="B11" s="76"/>
      <c r="C11" s="76"/>
      <c r="D11" s="76"/>
      <c r="E11" s="76"/>
      <c r="F11" s="83"/>
      <c r="G11" s="82"/>
      <c r="H11" s="76"/>
      <c r="I11" s="76"/>
      <c r="J11" s="76"/>
      <c r="K11" s="76"/>
      <c r="L11" s="83"/>
      <c r="M11" s="82"/>
      <c r="N11" s="76"/>
      <c r="O11" s="76"/>
      <c r="P11" s="76"/>
      <c r="Q11" s="83"/>
      <c r="S11" s="155" t="s">
        <v>294</v>
      </c>
      <c r="T11" s="158">
        <v>55</v>
      </c>
      <c r="U11" s="158">
        <v>54</v>
      </c>
      <c r="V11" s="155" t="s">
        <v>303</v>
      </c>
      <c r="W11" s="152"/>
    </row>
    <row r="12" spans="1:23" x14ac:dyDescent="0.3">
      <c r="A12" s="82"/>
      <c r="B12" s="76"/>
      <c r="C12" s="76"/>
      <c r="D12" s="76"/>
      <c r="E12" s="76"/>
      <c r="F12" s="83"/>
      <c r="G12" s="82"/>
      <c r="H12" s="76"/>
      <c r="I12" s="76"/>
      <c r="J12" s="76"/>
      <c r="K12" s="76"/>
      <c r="L12" s="83"/>
      <c r="M12" s="82"/>
      <c r="N12" s="76"/>
      <c r="O12" s="76"/>
      <c r="P12" s="76"/>
      <c r="Q12" s="83"/>
    </row>
    <row r="13" spans="1:23" x14ac:dyDescent="0.3">
      <c r="A13" s="82"/>
      <c r="B13" s="76"/>
      <c r="C13" s="76"/>
      <c r="D13" s="76"/>
      <c r="E13" s="76"/>
      <c r="F13" s="83"/>
      <c r="G13" s="82"/>
      <c r="H13" s="76"/>
      <c r="I13" s="76"/>
      <c r="J13" s="76"/>
      <c r="K13" s="76"/>
      <c r="L13" s="83"/>
      <c r="M13" s="82"/>
      <c r="N13" s="76"/>
      <c r="O13" s="76"/>
      <c r="P13" s="76"/>
      <c r="Q13" s="83"/>
    </row>
    <row r="14" spans="1:23" x14ac:dyDescent="0.3">
      <c r="A14" s="82"/>
      <c r="B14" s="76"/>
      <c r="C14" s="76"/>
      <c r="D14" s="76"/>
      <c r="E14" s="76"/>
      <c r="F14" s="83"/>
      <c r="G14" s="82"/>
      <c r="H14" s="76"/>
      <c r="I14" s="76"/>
      <c r="J14" s="76"/>
      <c r="K14" s="76"/>
      <c r="L14" s="83"/>
      <c r="M14" s="82"/>
      <c r="N14" s="76"/>
      <c r="O14" s="76"/>
      <c r="P14" s="76"/>
      <c r="Q14" s="83"/>
      <c r="T14" s="153">
        <f>55*6</f>
        <v>330</v>
      </c>
    </row>
    <row r="15" spans="1:23" x14ac:dyDescent="0.3">
      <c r="A15" s="82"/>
      <c r="B15" s="76"/>
      <c r="C15" s="76"/>
      <c r="D15" s="76"/>
      <c r="E15" s="76"/>
      <c r="F15" s="83"/>
      <c r="G15" s="82"/>
      <c r="H15" s="76"/>
      <c r="I15" s="76"/>
      <c r="J15" s="76"/>
      <c r="K15" s="76"/>
      <c r="L15" s="83"/>
      <c r="M15" s="82"/>
      <c r="N15" s="76"/>
      <c r="O15" s="76"/>
      <c r="P15" s="76"/>
      <c r="Q15" s="83"/>
      <c r="T15" s="153">
        <f>T14*1000</f>
        <v>330000</v>
      </c>
    </row>
    <row r="16" spans="1:23" x14ac:dyDescent="0.3">
      <c r="A16" s="82"/>
      <c r="B16" s="76"/>
      <c r="C16" s="76"/>
      <c r="D16" s="76"/>
      <c r="E16" s="76"/>
      <c r="F16" s="83"/>
      <c r="G16" s="82"/>
      <c r="H16" s="76"/>
      <c r="I16" s="76"/>
      <c r="J16" s="76"/>
      <c r="K16" s="76"/>
      <c r="L16" s="83"/>
      <c r="M16" s="82"/>
      <c r="N16" s="76"/>
      <c r="O16" s="76"/>
      <c r="P16" s="76"/>
      <c r="Q16" s="83"/>
      <c r="T16" s="153">
        <f>T15/20</f>
        <v>16500</v>
      </c>
    </row>
    <row r="17" spans="1:20" x14ac:dyDescent="0.3">
      <c r="A17" s="82"/>
      <c r="B17" s="76"/>
      <c r="C17" s="76"/>
      <c r="D17" s="76"/>
      <c r="E17" s="76"/>
      <c r="F17" s="83"/>
      <c r="G17" s="82"/>
      <c r="H17" s="76"/>
      <c r="I17" s="76"/>
      <c r="J17" s="76"/>
      <c r="K17" s="76"/>
      <c r="L17" s="83"/>
      <c r="M17" s="82"/>
      <c r="N17" s="76"/>
      <c r="O17" s="76"/>
      <c r="P17" s="76"/>
      <c r="Q17" s="83"/>
      <c r="T17" s="153">
        <f>T16/6</f>
        <v>2750</v>
      </c>
    </row>
    <row r="18" spans="1:20" x14ac:dyDescent="0.3">
      <c r="A18" s="82"/>
      <c r="B18" s="76"/>
      <c r="C18" s="76"/>
      <c r="D18" s="76"/>
      <c r="E18" s="76"/>
      <c r="F18" s="83"/>
      <c r="G18" s="82"/>
      <c r="H18" s="76"/>
      <c r="I18" s="76"/>
      <c r="J18" s="76"/>
      <c r="K18" s="76"/>
      <c r="L18" s="83"/>
      <c r="M18" s="82"/>
      <c r="N18" s="76"/>
      <c r="O18" s="76"/>
      <c r="P18" s="76"/>
      <c r="Q18" s="83"/>
      <c r="T18" s="153">
        <f>T17/100</f>
        <v>27.5</v>
      </c>
    </row>
    <row r="19" spans="1:20" x14ac:dyDescent="0.3">
      <c r="A19" s="82"/>
      <c r="B19" s="76"/>
      <c r="C19" s="76"/>
      <c r="D19" s="76"/>
      <c r="E19" s="76"/>
      <c r="F19" s="83"/>
      <c r="G19" s="82"/>
      <c r="H19" s="76"/>
      <c r="I19" s="76"/>
      <c r="J19" s="76"/>
      <c r="K19" s="76"/>
      <c r="L19" s="83"/>
      <c r="M19" s="82"/>
      <c r="N19" s="76"/>
      <c r="O19" s="76"/>
      <c r="P19" s="76"/>
      <c r="Q19" s="83"/>
    </row>
    <row r="20" spans="1:20" x14ac:dyDescent="0.3">
      <c r="A20" s="82"/>
      <c r="B20" s="76"/>
      <c r="C20" s="76"/>
      <c r="D20" s="76"/>
      <c r="E20" s="76"/>
      <c r="F20" s="83"/>
      <c r="G20" s="82"/>
      <c r="H20" s="76"/>
      <c r="I20" s="76"/>
      <c r="J20" s="76"/>
      <c r="K20" s="76"/>
      <c r="L20" s="83"/>
      <c r="M20" s="82"/>
      <c r="N20" s="76"/>
      <c r="O20" s="76"/>
      <c r="P20" s="76"/>
      <c r="Q20" s="83"/>
    </row>
    <row r="21" spans="1:20" x14ac:dyDescent="0.3">
      <c r="A21" s="82"/>
      <c r="B21" s="76"/>
      <c r="C21" s="76"/>
      <c r="D21" s="76"/>
      <c r="E21" s="76"/>
      <c r="F21" s="83"/>
      <c r="G21" s="82"/>
      <c r="H21" s="76"/>
      <c r="I21" s="76"/>
      <c r="J21" s="76"/>
      <c r="K21" s="76"/>
      <c r="L21" s="83"/>
      <c r="M21" s="82"/>
      <c r="N21" s="76"/>
      <c r="O21" s="76"/>
      <c r="P21" s="76"/>
      <c r="Q21" s="83"/>
    </row>
    <row r="22" spans="1:20" ht="15" thickBot="1" x14ac:dyDescent="0.35">
      <c r="A22" s="84"/>
      <c r="B22" s="85"/>
      <c r="C22" s="85"/>
      <c r="D22" s="85"/>
      <c r="E22" s="85"/>
      <c r="F22" s="86"/>
      <c r="G22" s="84"/>
      <c r="H22" s="85"/>
      <c r="I22" s="85"/>
      <c r="J22" s="85"/>
      <c r="K22" s="85"/>
      <c r="L22" s="86"/>
      <c r="M22" s="84"/>
      <c r="N22" s="85"/>
      <c r="O22" s="85"/>
      <c r="P22" s="85"/>
      <c r="Q22" s="86"/>
    </row>
    <row r="23" spans="1:20" x14ac:dyDescent="0.3">
      <c r="A23" s="149"/>
      <c r="B23" s="150"/>
      <c r="C23" s="150"/>
      <c r="D23" s="150"/>
      <c r="E23" s="150"/>
      <c r="F23" s="151"/>
      <c r="G23" s="149"/>
      <c r="H23" s="150"/>
      <c r="I23" s="150"/>
      <c r="J23" s="150"/>
      <c r="K23" s="150"/>
      <c r="L23" s="151"/>
      <c r="M23" s="149"/>
      <c r="N23" s="150"/>
      <c r="O23" s="150"/>
      <c r="P23" s="150"/>
      <c r="Q23" s="151"/>
    </row>
    <row r="24" spans="1:20" x14ac:dyDescent="0.3">
      <c r="A24" s="82"/>
      <c r="B24" s="76"/>
      <c r="C24" s="76"/>
      <c r="D24" s="76"/>
      <c r="E24" s="76"/>
      <c r="F24" s="83"/>
      <c r="G24" s="82"/>
      <c r="H24" s="76"/>
      <c r="I24" s="76"/>
      <c r="J24" s="76"/>
      <c r="K24" s="76"/>
      <c r="L24" s="83"/>
      <c r="M24" s="82"/>
      <c r="N24" s="76"/>
      <c r="O24" s="76"/>
      <c r="P24" s="76"/>
      <c r="Q24" s="83"/>
    </row>
    <row r="25" spans="1:20" x14ac:dyDescent="0.3">
      <c r="A25" s="82"/>
      <c r="B25" s="76"/>
      <c r="C25" s="76"/>
      <c r="D25" s="76"/>
      <c r="E25" s="76"/>
      <c r="F25" s="83"/>
      <c r="G25" s="82"/>
      <c r="H25" s="76"/>
      <c r="I25" s="76"/>
      <c r="J25" s="76"/>
      <c r="K25" s="76"/>
      <c r="L25" s="83"/>
      <c r="M25" s="82"/>
      <c r="N25" s="76"/>
      <c r="O25" s="76"/>
      <c r="P25" s="76"/>
      <c r="Q25" s="83"/>
    </row>
    <row r="26" spans="1:20" x14ac:dyDescent="0.3">
      <c r="A26" s="82"/>
      <c r="B26" s="76"/>
      <c r="C26" s="76"/>
      <c r="D26" s="76"/>
      <c r="E26" s="76"/>
      <c r="F26" s="83"/>
      <c r="G26" s="82"/>
      <c r="H26" s="76"/>
      <c r="I26" s="76"/>
      <c r="J26" s="76"/>
      <c r="K26" s="76"/>
      <c r="L26" s="83"/>
      <c r="M26" s="82"/>
      <c r="N26" s="76"/>
      <c r="O26" s="76"/>
      <c r="P26" s="76"/>
      <c r="Q26" s="83"/>
    </row>
    <row r="27" spans="1:20" x14ac:dyDescent="0.3">
      <c r="A27" s="82"/>
      <c r="B27" s="76"/>
      <c r="C27" s="76"/>
      <c r="D27" s="76"/>
      <c r="E27" s="76"/>
      <c r="F27" s="83"/>
      <c r="G27" s="82"/>
      <c r="H27" s="76"/>
      <c r="I27" s="76"/>
      <c r="J27" s="76"/>
      <c r="K27" s="76"/>
      <c r="L27" s="83"/>
      <c r="M27" s="82"/>
      <c r="N27" s="76"/>
      <c r="O27" s="76"/>
      <c r="P27" s="76"/>
      <c r="Q27" s="83"/>
    </row>
    <row r="28" spans="1:20" x14ac:dyDescent="0.3">
      <c r="A28" s="82"/>
      <c r="B28" s="76"/>
      <c r="C28" s="76"/>
      <c r="D28" s="76"/>
      <c r="E28" s="76"/>
      <c r="F28" s="83"/>
      <c r="G28" s="82"/>
      <c r="H28" s="76"/>
      <c r="I28" s="76"/>
      <c r="J28" s="76"/>
      <c r="K28" s="76"/>
      <c r="L28" s="83"/>
      <c r="M28" s="82"/>
      <c r="N28" s="76"/>
      <c r="O28" s="76"/>
      <c r="P28" s="76"/>
      <c r="Q28" s="83"/>
    </row>
    <row r="29" spans="1:20" x14ac:dyDescent="0.3">
      <c r="A29" s="82"/>
      <c r="B29" s="76"/>
      <c r="C29" s="76"/>
      <c r="D29" s="76"/>
      <c r="E29" s="76"/>
      <c r="F29" s="83"/>
      <c r="G29" s="82"/>
      <c r="H29" s="76"/>
      <c r="I29" s="76"/>
      <c r="J29" s="76"/>
      <c r="K29" s="76"/>
      <c r="L29" s="83"/>
      <c r="M29" s="82"/>
      <c r="N29" s="76"/>
      <c r="O29" s="76"/>
      <c r="P29" s="76"/>
      <c r="Q29" s="83"/>
    </row>
    <row r="30" spans="1:20" x14ac:dyDescent="0.3">
      <c r="A30" s="82"/>
      <c r="B30" s="76"/>
      <c r="C30" s="76"/>
      <c r="D30" s="76"/>
      <c r="E30" s="76"/>
      <c r="F30" s="83"/>
      <c r="G30" s="82"/>
      <c r="H30" s="76"/>
      <c r="I30" s="76"/>
      <c r="J30" s="76"/>
      <c r="K30" s="76"/>
      <c r="L30" s="83"/>
      <c r="M30" s="82"/>
      <c r="N30" s="76"/>
      <c r="O30" s="76"/>
      <c r="P30" s="76"/>
      <c r="Q30" s="83"/>
    </row>
    <row r="31" spans="1:20" x14ac:dyDescent="0.3">
      <c r="A31" s="82"/>
      <c r="B31" s="76"/>
      <c r="C31" s="76"/>
      <c r="D31" s="76"/>
      <c r="E31" s="76"/>
      <c r="F31" s="83"/>
      <c r="G31" s="82"/>
      <c r="H31" s="76"/>
      <c r="I31" s="76"/>
      <c r="J31" s="76"/>
      <c r="K31" s="76"/>
      <c r="L31" s="83"/>
      <c r="M31" s="82"/>
      <c r="N31" s="76"/>
      <c r="O31" s="76"/>
      <c r="P31" s="76"/>
      <c r="Q31" s="83"/>
    </row>
    <row r="32" spans="1:20" x14ac:dyDescent="0.3">
      <c r="A32" s="82"/>
      <c r="B32" s="76"/>
      <c r="C32" s="76"/>
      <c r="D32" s="76"/>
      <c r="E32" s="76"/>
      <c r="F32" s="83"/>
      <c r="G32" s="82"/>
      <c r="H32" s="76"/>
      <c r="I32" s="76"/>
      <c r="J32" s="76"/>
      <c r="K32" s="76"/>
      <c r="L32" s="83"/>
      <c r="M32" s="82"/>
      <c r="N32" s="76"/>
      <c r="O32" s="76"/>
      <c r="P32" s="76"/>
      <c r="Q32" s="83"/>
    </row>
    <row r="33" spans="1:17" x14ac:dyDescent="0.3">
      <c r="A33" s="82"/>
      <c r="B33" s="76"/>
      <c r="C33" s="76"/>
      <c r="D33" s="76"/>
      <c r="E33" s="76"/>
      <c r="F33" s="83"/>
      <c r="G33" s="82"/>
      <c r="H33" s="76"/>
      <c r="I33" s="76"/>
      <c r="J33" s="76"/>
      <c r="K33" s="76"/>
      <c r="L33" s="83"/>
      <c r="M33" s="82"/>
      <c r="N33" s="76"/>
      <c r="O33" s="76"/>
      <c r="P33" s="76"/>
      <c r="Q33" s="83"/>
    </row>
    <row r="34" spans="1:17" x14ac:dyDescent="0.3">
      <c r="A34" s="82"/>
      <c r="B34" s="76"/>
      <c r="C34" s="76"/>
      <c r="D34" s="76"/>
      <c r="E34" s="76"/>
      <c r="F34" s="83"/>
      <c r="G34" s="82"/>
      <c r="H34" s="76"/>
      <c r="I34" s="76"/>
      <c r="J34" s="76"/>
      <c r="K34" s="76"/>
      <c r="L34" s="83"/>
      <c r="M34" s="82"/>
      <c r="N34" s="76"/>
      <c r="O34" s="76"/>
      <c r="P34" s="76"/>
      <c r="Q34" s="83"/>
    </row>
    <row r="35" spans="1:17" x14ac:dyDescent="0.3">
      <c r="A35" s="82"/>
      <c r="B35" s="76"/>
      <c r="C35" s="76"/>
      <c r="D35" s="76"/>
      <c r="E35" s="76"/>
      <c r="F35" s="83"/>
      <c r="G35" s="82"/>
      <c r="H35" s="76"/>
      <c r="I35" s="76"/>
      <c r="J35" s="76"/>
      <c r="K35" s="76"/>
      <c r="L35" s="83"/>
      <c r="M35" s="82"/>
      <c r="N35" s="76"/>
      <c r="O35" s="76"/>
      <c r="P35" s="76"/>
      <c r="Q35" s="83"/>
    </row>
    <row r="36" spans="1:17" x14ac:dyDescent="0.3">
      <c r="A36" s="82"/>
      <c r="B36" s="76"/>
      <c r="C36" s="76"/>
      <c r="D36" s="76"/>
      <c r="E36" s="76"/>
      <c r="F36" s="83"/>
      <c r="G36" s="82"/>
      <c r="H36" s="76"/>
      <c r="I36" s="76"/>
      <c r="J36" s="76"/>
      <c r="K36" s="76"/>
      <c r="L36" s="83"/>
      <c r="M36" s="82"/>
      <c r="N36" s="76"/>
      <c r="O36" s="76"/>
      <c r="P36" s="76"/>
      <c r="Q36" s="83"/>
    </row>
    <row r="37" spans="1:17" x14ac:dyDescent="0.3">
      <c r="A37" s="82"/>
      <c r="B37" s="76"/>
      <c r="C37" s="76"/>
      <c r="D37" s="76"/>
      <c r="E37" s="76"/>
      <c r="F37" s="83"/>
      <c r="G37" s="82"/>
      <c r="H37" s="76"/>
      <c r="I37" s="76"/>
      <c r="J37" s="76"/>
      <c r="K37" s="76"/>
      <c r="L37" s="83"/>
      <c r="M37" s="82"/>
      <c r="N37" s="76"/>
      <c r="O37" s="76"/>
      <c r="P37" s="76"/>
      <c r="Q37" s="83"/>
    </row>
    <row r="38" spans="1:17" x14ac:dyDescent="0.3">
      <c r="A38" s="82"/>
      <c r="B38" s="76"/>
      <c r="C38" s="76"/>
      <c r="D38" s="76"/>
      <c r="E38" s="76"/>
      <c r="F38" s="83"/>
      <c r="G38" s="82"/>
      <c r="H38" s="76"/>
      <c r="I38" s="76"/>
      <c r="J38" s="76"/>
      <c r="K38" s="76"/>
      <c r="L38" s="83"/>
      <c r="M38" s="82"/>
      <c r="N38" s="76"/>
      <c r="O38" s="76"/>
      <c r="P38" s="76"/>
      <c r="Q38" s="83"/>
    </row>
    <row r="39" spans="1:17" x14ac:dyDescent="0.3">
      <c r="A39" s="82"/>
      <c r="B39" s="76"/>
      <c r="C39" s="76"/>
      <c r="D39" s="76"/>
      <c r="E39" s="76"/>
      <c r="F39" s="83"/>
      <c r="G39" s="82"/>
      <c r="H39" s="76"/>
      <c r="I39" s="76"/>
      <c r="J39" s="76"/>
      <c r="K39" s="76"/>
      <c r="L39" s="83"/>
      <c r="M39" s="82"/>
      <c r="N39" s="76"/>
      <c r="O39" s="76"/>
      <c r="P39" s="76"/>
      <c r="Q39" s="83"/>
    </row>
    <row r="40" spans="1:17" x14ac:dyDescent="0.3">
      <c r="A40" s="82"/>
      <c r="B40" s="76"/>
      <c r="C40" s="76"/>
      <c r="D40" s="76"/>
      <c r="E40" s="76"/>
      <c r="F40" s="83"/>
      <c r="G40" s="82"/>
      <c r="H40" s="76"/>
      <c r="I40" s="76"/>
      <c r="J40" s="76"/>
      <c r="K40" s="76"/>
      <c r="L40" s="83"/>
      <c r="M40" s="82"/>
      <c r="N40" s="76"/>
      <c r="O40" s="76"/>
      <c r="P40" s="76"/>
      <c r="Q40" s="83"/>
    </row>
    <row r="41" spans="1:17" ht="15" thickBot="1" x14ac:dyDescent="0.35">
      <c r="A41" s="84"/>
      <c r="B41" s="85"/>
      <c r="C41" s="85"/>
      <c r="D41" s="85"/>
      <c r="E41" s="85"/>
      <c r="F41" s="86"/>
      <c r="G41" s="84"/>
      <c r="H41" s="85"/>
      <c r="I41" s="85"/>
      <c r="J41" s="85"/>
      <c r="K41" s="85"/>
      <c r="L41" s="86"/>
      <c r="M41" s="84"/>
      <c r="N41" s="85"/>
      <c r="O41" s="85"/>
      <c r="P41" s="85"/>
      <c r="Q41" s="86"/>
    </row>
    <row r="42" spans="1:17" x14ac:dyDescent="0.3">
      <c r="A42" s="82"/>
      <c r="B42" s="76"/>
      <c r="C42" s="76"/>
      <c r="D42" s="76"/>
      <c r="E42" s="76"/>
      <c r="F42" s="83"/>
      <c r="G42" s="82"/>
      <c r="H42" s="76"/>
      <c r="I42" s="76"/>
      <c r="J42" s="76"/>
      <c r="K42" s="76"/>
      <c r="L42" s="83"/>
      <c r="M42" s="82"/>
      <c r="N42" s="76"/>
      <c r="O42" s="76"/>
      <c r="P42" s="76"/>
      <c r="Q42" s="83"/>
    </row>
    <row r="43" spans="1:17" x14ac:dyDescent="0.3">
      <c r="A43" s="82"/>
      <c r="B43" s="76"/>
      <c r="C43" s="76"/>
      <c r="D43" s="76"/>
      <c r="E43" s="76"/>
      <c r="F43" s="83"/>
      <c r="G43" s="82"/>
      <c r="H43" s="76"/>
      <c r="I43" s="76"/>
      <c r="J43" s="76"/>
      <c r="K43" s="76"/>
      <c r="L43" s="83"/>
      <c r="M43" s="82"/>
      <c r="N43" s="76"/>
      <c r="O43" s="76"/>
      <c r="P43" s="76"/>
      <c r="Q43" s="83"/>
    </row>
    <row r="44" spans="1:17" x14ac:dyDescent="0.3">
      <c r="A44" s="82"/>
      <c r="B44" s="76"/>
      <c r="C44" s="76"/>
      <c r="D44" s="76"/>
      <c r="E44" s="76"/>
      <c r="F44" s="83"/>
      <c r="G44" s="82"/>
      <c r="H44" s="76"/>
      <c r="I44" s="76"/>
      <c r="J44" s="76"/>
      <c r="K44" s="76"/>
      <c r="L44" s="83"/>
      <c r="M44" s="82"/>
      <c r="N44" s="76"/>
      <c r="O44" s="76"/>
      <c r="P44" s="76"/>
      <c r="Q44" s="83"/>
    </row>
    <row r="45" spans="1:17" x14ac:dyDescent="0.3">
      <c r="A45" s="82"/>
      <c r="B45" s="76"/>
      <c r="C45" s="76"/>
      <c r="D45" s="76"/>
      <c r="E45" s="76"/>
      <c r="F45" s="83"/>
      <c r="G45" s="82"/>
      <c r="H45" s="76"/>
      <c r="I45" s="76"/>
      <c r="J45" s="76"/>
      <c r="K45" s="76"/>
      <c r="L45" s="83"/>
      <c r="M45" s="82"/>
      <c r="N45" s="76"/>
      <c r="O45" s="76"/>
      <c r="P45" s="76"/>
      <c r="Q45" s="83"/>
    </row>
    <row r="46" spans="1:17" x14ac:dyDescent="0.3">
      <c r="A46" s="82"/>
      <c r="B46" s="76"/>
      <c r="C46" s="76"/>
      <c r="D46" s="76"/>
      <c r="E46" s="76"/>
      <c r="F46" s="83"/>
      <c r="G46" s="82"/>
      <c r="H46" s="76"/>
      <c r="I46" s="76"/>
      <c r="J46" s="76"/>
      <c r="K46" s="76"/>
      <c r="L46" s="83"/>
      <c r="M46" s="82"/>
      <c r="N46" s="76"/>
      <c r="O46" s="76"/>
      <c r="P46" s="76"/>
      <c r="Q46" s="83"/>
    </row>
    <row r="47" spans="1:17" x14ac:dyDescent="0.3">
      <c r="A47" s="82"/>
      <c r="B47" s="76"/>
      <c r="C47" s="76"/>
      <c r="D47" s="76"/>
      <c r="E47" s="76"/>
      <c r="F47" s="83"/>
      <c r="G47" s="82"/>
      <c r="H47" s="76"/>
      <c r="I47" s="76"/>
      <c r="J47" s="76"/>
      <c r="K47" s="76"/>
      <c r="L47" s="83"/>
      <c r="M47" s="82"/>
      <c r="N47" s="76"/>
      <c r="O47" s="76"/>
      <c r="P47" s="76"/>
      <c r="Q47" s="83"/>
    </row>
    <row r="48" spans="1:17" x14ac:dyDescent="0.3">
      <c r="A48" s="82"/>
      <c r="B48" s="76"/>
      <c r="C48" s="76"/>
      <c r="D48" s="76"/>
      <c r="E48" s="76"/>
      <c r="F48" s="83"/>
      <c r="G48" s="82"/>
      <c r="H48" s="76"/>
      <c r="I48" s="76"/>
      <c r="J48" s="76"/>
      <c r="K48" s="76"/>
      <c r="L48" s="83"/>
      <c r="M48" s="82"/>
      <c r="N48" s="76"/>
      <c r="O48" s="76"/>
      <c r="P48" s="76"/>
      <c r="Q48" s="83"/>
    </row>
    <row r="49" spans="1:17" x14ac:dyDescent="0.3">
      <c r="A49" s="82"/>
      <c r="B49" s="76"/>
      <c r="C49" s="76"/>
      <c r="D49" s="76"/>
      <c r="E49" s="76"/>
      <c r="F49" s="83"/>
      <c r="G49" s="82"/>
      <c r="H49" s="76"/>
      <c r="I49" s="76"/>
      <c r="J49" s="76"/>
      <c r="K49" s="76"/>
      <c r="L49" s="83"/>
      <c r="M49" s="82"/>
      <c r="N49" s="76"/>
      <c r="O49" s="76"/>
      <c r="P49" s="76"/>
      <c r="Q49" s="83"/>
    </row>
    <row r="50" spans="1:17" x14ac:dyDescent="0.3">
      <c r="A50" s="82"/>
      <c r="B50" s="76"/>
      <c r="C50" s="76"/>
      <c r="D50" s="76"/>
      <c r="E50" s="76"/>
      <c r="F50" s="83"/>
      <c r="G50" s="82"/>
      <c r="H50" s="76"/>
      <c r="I50" s="76"/>
      <c r="J50" s="76"/>
      <c r="K50" s="76"/>
      <c r="L50" s="83"/>
      <c r="M50" s="82"/>
      <c r="N50" s="76"/>
      <c r="O50" s="76"/>
      <c r="P50" s="76"/>
      <c r="Q50" s="83"/>
    </row>
    <row r="51" spans="1:17" x14ac:dyDescent="0.3">
      <c r="A51" s="82"/>
      <c r="B51" s="76"/>
      <c r="C51" s="76"/>
      <c r="D51" s="76"/>
      <c r="E51" s="76"/>
      <c r="F51" s="83"/>
      <c r="G51" s="82"/>
      <c r="H51" s="76"/>
      <c r="I51" s="76"/>
      <c r="J51" s="76"/>
      <c r="K51" s="76"/>
      <c r="L51" s="83"/>
      <c r="M51" s="82"/>
      <c r="N51" s="76"/>
      <c r="O51" s="76"/>
      <c r="P51" s="76"/>
      <c r="Q51" s="83"/>
    </row>
    <row r="52" spans="1:17" x14ac:dyDescent="0.3">
      <c r="A52" s="82"/>
      <c r="B52" s="76"/>
      <c r="C52" s="76"/>
      <c r="D52" s="76"/>
      <c r="E52" s="76"/>
      <c r="F52" s="83"/>
      <c r="G52" s="82"/>
      <c r="H52" s="76"/>
      <c r="I52" s="76"/>
      <c r="J52" s="76"/>
      <c r="K52" s="76"/>
      <c r="L52" s="83"/>
      <c r="M52" s="82"/>
      <c r="N52" s="76"/>
      <c r="O52" s="76"/>
      <c r="P52" s="76"/>
      <c r="Q52" s="83"/>
    </row>
    <row r="53" spans="1:17" x14ac:dyDescent="0.3">
      <c r="A53" s="82"/>
      <c r="B53" s="76"/>
      <c r="C53" s="76"/>
      <c r="D53" s="76"/>
      <c r="E53" s="76"/>
      <c r="F53" s="83"/>
      <c r="G53" s="82"/>
      <c r="H53" s="76"/>
      <c r="I53" s="76"/>
      <c r="J53" s="76"/>
      <c r="K53" s="76"/>
      <c r="L53" s="83"/>
      <c r="M53" s="82"/>
      <c r="N53" s="76"/>
      <c r="O53" s="76"/>
      <c r="P53" s="76"/>
      <c r="Q53" s="83"/>
    </row>
    <row r="54" spans="1:17" x14ac:dyDescent="0.3">
      <c r="A54" s="82"/>
      <c r="B54" s="76"/>
      <c r="C54" s="76"/>
      <c r="D54" s="76"/>
      <c r="E54" s="76"/>
      <c r="F54" s="83"/>
      <c r="G54" s="82"/>
      <c r="H54" s="76"/>
      <c r="I54" s="76"/>
      <c r="J54" s="76"/>
      <c r="K54" s="76"/>
      <c r="L54" s="83"/>
      <c r="M54" s="82"/>
      <c r="N54" s="76"/>
      <c r="O54" s="76"/>
      <c r="P54" s="76"/>
      <c r="Q54" s="83"/>
    </row>
    <row r="55" spans="1:17" x14ac:dyDescent="0.3">
      <c r="A55" s="82"/>
      <c r="B55" s="76"/>
      <c r="C55" s="76"/>
      <c r="D55" s="76"/>
      <c r="E55" s="76"/>
      <c r="F55" s="83"/>
      <c r="G55" s="82"/>
      <c r="H55" s="76"/>
      <c r="I55" s="76"/>
      <c r="J55" s="76"/>
      <c r="K55" s="76"/>
      <c r="L55" s="83"/>
      <c r="M55" s="82"/>
      <c r="N55" s="76"/>
      <c r="O55" s="76"/>
      <c r="P55" s="76"/>
      <c r="Q55" s="83"/>
    </row>
    <row r="56" spans="1:17" x14ac:dyDescent="0.3">
      <c r="A56" s="82"/>
      <c r="B56" s="76"/>
      <c r="C56" s="76"/>
      <c r="D56" s="76"/>
      <c r="E56" s="76"/>
      <c r="F56" s="83"/>
      <c r="G56" s="82"/>
      <c r="H56" s="76"/>
      <c r="I56" s="76"/>
      <c r="J56" s="76"/>
      <c r="K56" s="76"/>
      <c r="L56" s="83"/>
      <c r="M56" s="82"/>
      <c r="N56" s="76"/>
      <c r="O56" s="76"/>
      <c r="P56" s="76"/>
      <c r="Q56" s="83"/>
    </row>
    <row r="57" spans="1:17" x14ac:dyDescent="0.3">
      <c r="A57" s="82"/>
      <c r="B57" s="76"/>
      <c r="C57" s="76"/>
      <c r="D57" s="76"/>
      <c r="E57" s="76"/>
      <c r="F57" s="83"/>
      <c r="G57" s="82"/>
      <c r="H57" s="76"/>
      <c r="I57" s="76"/>
      <c r="J57" s="76"/>
      <c r="K57" s="76"/>
      <c r="L57" s="83"/>
      <c r="M57" s="82"/>
      <c r="N57" s="76"/>
      <c r="O57" s="76"/>
      <c r="P57" s="76"/>
      <c r="Q57" s="83"/>
    </row>
    <row r="58" spans="1:17" x14ac:dyDescent="0.3">
      <c r="A58" s="82"/>
      <c r="B58" s="76"/>
      <c r="C58" s="76"/>
      <c r="D58" s="76"/>
      <c r="E58" s="76"/>
      <c r="F58" s="83"/>
      <c r="G58" s="82"/>
      <c r="H58" s="76"/>
      <c r="I58" s="76"/>
      <c r="J58" s="76"/>
      <c r="K58" s="76"/>
      <c r="L58" s="83"/>
      <c r="M58" s="82"/>
      <c r="N58" s="76"/>
      <c r="O58" s="76"/>
      <c r="P58" s="76"/>
      <c r="Q58" s="83"/>
    </row>
    <row r="59" spans="1:17" ht="15" thickBot="1" x14ac:dyDescent="0.35">
      <c r="A59" s="84"/>
      <c r="B59" s="85"/>
      <c r="C59" s="85"/>
      <c r="D59" s="85"/>
      <c r="E59" s="85"/>
      <c r="F59" s="86"/>
      <c r="G59" s="84"/>
      <c r="H59" s="85"/>
      <c r="I59" s="85"/>
      <c r="J59" s="85"/>
      <c r="K59" s="85"/>
      <c r="L59" s="86"/>
      <c r="M59" s="84"/>
      <c r="N59" s="85"/>
      <c r="O59" s="85"/>
      <c r="P59" s="85"/>
      <c r="Q59" s="8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109C-C313-47D3-BDAA-5882E7D17DC4}">
  <dimension ref="A1:J57"/>
  <sheetViews>
    <sheetView workbookViewId="0">
      <pane ySplit="585" topLeftCell="A58" activePane="bottomLeft"/>
      <selection activeCell="J1" sqref="J1:J1048576"/>
      <selection pane="bottomLeft" activeCell="C61" sqref="C61"/>
    </sheetView>
  </sheetViews>
  <sheetFormatPr baseColWidth="10" defaultRowHeight="14.4" x14ac:dyDescent="0.3"/>
  <cols>
    <col min="1" max="1" width="16" style="117" customWidth="1"/>
  </cols>
  <sheetData>
    <row r="1" spans="1:10" ht="22.95" customHeight="1" x14ac:dyDescent="0.3">
      <c r="A1" s="119" t="s">
        <v>264</v>
      </c>
      <c r="B1" s="119" t="s">
        <v>35</v>
      </c>
      <c r="C1" s="119" t="s">
        <v>36</v>
      </c>
      <c r="D1" s="119" t="s">
        <v>265</v>
      </c>
      <c r="E1" s="119" t="s">
        <v>34</v>
      </c>
      <c r="F1" s="119" t="s">
        <v>266</v>
      </c>
      <c r="G1" s="119" t="s">
        <v>37</v>
      </c>
      <c r="H1" s="119" t="s">
        <v>60</v>
      </c>
      <c r="I1" s="119" t="s">
        <v>32</v>
      </c>
    </row>
    <row r="2" spans="1:10" x14ac:dyDescent="0.3">
      <c r="A2" s="114" t="s">
        <v>74</v>
      </c>
      <c r="B2" s="81"/>
      <c r="C2" s="81"/>
      <c r="D2" s="81">
        <v>6</v>
      </c>
      <c r="E2" s="81"/>
      <c r="F2" s="81"/>
      <c r="G2" s="81"/>
      <c r="H2" s="81"/>
      <c r="I2" s="81"/>
      <c r="J2">
        <f t="shared" ref="J2:J33" si="0">SUM(D2:I2)</f>
        <v>6</v>
      </c>
    </row>
    <row r="3" spans="1:10" x14ac:dyDescent="0.3">
      <c r="A3" s="114" t="s">
        <v>66</v>
      </c>
      <c r="B3" s="81"/>
      <c r="C3" s="81"/>
      <c r="D3" s="81"/>
      <c r="E3" s="81">
        <v>2</v>
      </c>
      <c r="F3" s="81">
        <v>2</v>
      </c>
      <c r="G3" s="81"/>
      <c r="H3" s="81"/>
      <c r="I3" s="81"/>
      <c r="J3">
        <f t="shared" si="0"/>
        <v>4</v>
      </c>
    </row>
    <row r="4" spans="1:10" x14ac:dyDescent="0.3">
      <c r="A4" s="114" t="s">
        <v>53</v>
      </c>
      <c r="B4" s="81">
        <v>1</v>
      </c>
      <c r="C4" s="81">
        <v>1</v>
      </c>
      <c r="D4" s="81"/>
      <c r="E4" s="81"/>
      <c r="F4" s="81"/>
      <c r="G4" s="81"/>
      <c r="H4" s="81"/>
      <c r="I4" s="81"/>
      <c r="J4">
        <f t="shared" si="0"/>
        <v>0</v>
      </c>
    </row>
    <row r="5" spans="1:10" x14ac:dyDescent="0.3">
      <c r="A5" s="114" t="s">
        <v>84</v>
      </c>
      <c r="B5" s="81">
        <v>1</v>
      </c>
      <c r="C5" s="81">
        <v>1</v>
      </c>
      <c r="D5" s="81"/>
      <c r="E5" s="81"/>
      <c r="F5" s="81"/>
      <c r="G5" s="81"/>
      <c r="H5" s="81"/>
      <c r="I5" s="81"/>
      <c r="J5">
        <f t="shared" si="0"/>
        <v>0</v>
      </c>
    </row>
    <row r="6" spans="1:10" x14ac:dyDescent="0.3">
      <c r="A6" s="114" t="s">
        <v>126</v>
      </c>
      <c r="B6" s="81"/>
      <c r="C6" s="81">
        <v>2</v>
      </c>
      <c r="D6" s="81"/>
      <c r="E6" s="81">
        <v>2</v>
      </c>
      <c r="F6" s="81"/>
      <c r="G6" s="81"/>
      <c r="H6" s="81"/>
      <c r="I6" s="81"/>
      <c r="J6">
        <f t="shared" si="0"/>
        <v>2</v>
      </c>
    </row>
    <row r="7" spans="1:10" x14ac:dyDescent="0.3">
      <c r="A7" s="115" t="s">
        <v>138</v>
      </c>
      <c r="B7" s="81">
        <v>6</v>
      </c>
      <c r="C7" s="81"/>
      <c r="D7" s="81"/>
      <c r="E7" s="81"/>
      <c r="F7" s="81"/>
      <c r="G7" s="81"/>
      <c r="H7" s="81"/>
      <c r="I7" s="81"/>
      <c r="J7">
        <f t="shared" si="0"/>
        <v>0</v>
      </c>
    </row>
    <row r="8" spans="1:10" x14ac:dyDescent="0.3">
      <c r="A8" s="114" t="s">
        <v>75</v>
      </c>
      <c r="B8" s="81">
        <v>2</v>
      </c>
      <c r="C8" s="81">
        <v>2</v>
      </c>
      <c r="D8" s="81"/>
      <c r="E8" s="81"/>
      <c r="F8" s="81"/>
      <c r="G8" s="81"/>
      <c r="H8" s="81"/>
      <c r="I8" s="81"/>
      <c r="J8">
        <f t="shared" si="0"/>
        <v>0</v>
      </c>
    </row>
    <row r="9" spans="1:10" x14ac:dyDescent="0.3">
      <c r="A9" s="115" t="s">
        <v>158</v>
      </c>
      <c r="B9" s="81">
        <v>6</v>
      </c>
      <c r="C9" s="81"/>
      <c r="D9" s="81"/>
      <c r="E9" s="81"/>
      <c r="F9" s="81"/>
      <c r="G9" s="81"/>
      <c r="H9" s="81"/>
      <c r="I9" s="81"/>
      <c r="J9">
        <f t="shared" si="0"/>
        <v>0</v>
      </c>
    </row>
    <row r="10" spans="1:10" x14ac:dyDescent="0.3">
      <c r="A10" s="115" t="s">
        <v>163</v>
      </c>
      <c r="B10" s="81">
        <v>2</v>
      </c>
      <c r="C10" s="81">
        <v>2</v>
      </c>
      <c r="D10" s="81"/>
      <c r="E10" s="81"/>
      <c r="F10" s="81"/>
      <c r="G10" s="81"/>
      <c r="H10" s="81"/>
      <c r="I10" s="81"/>
      <c r="J10">
        <f t="shared" si="0"/>
        <v>0</v>
      </c>
    </row>
    <row r="11" spans="1:10" x14ac:dyDescent="0.3">
      <c r="A11" s="115" t="s">
        <v>182</v>
      </c>
      <c r="B11" s="81"/>
      <c r="C11" s="81">
        <v>6</v>
      </c>
      <c r="D11" s="81"/>
      <c r="E11" s="81"/>
      <c r="F11" s="81"/>
      <c r="G11" s="81"/>
      <c r="H11" s="81"/>
      <c r="I11" s="81"/>
      <c r="J11">
        <f t="shared" si="0"/>
        <v>0</v>
      </c>
    </row>
    <row r="12" spans="1:10" x14ac:dyDescent="0.3">
      <c r="A12" s="114" t="s">
        <v>116</v>
      </c>
      <c r="B12" s="81">
        <v>3</v>
      </c>
      <c r="C12" s="81"/>
      <c r="D12" s="81"/>
      <c r="E12" s="81">
        <v>3</v>
      </c>
      <c r="F12" s="81"/>
      <c r="G12" s="81"/>
      <c r="H12" s="81"/>
      <c r="I12" s="81"/>
      <c r="J12">
        <f t="shared" si="0"/>
        <v>3</v>
      </c>
    </row>
    <row r="13" spans="1:10" x14ac:dyDescent="0.3">
      <c r="A13" s="115" t="s">
        <v>139</v>
      </c>
      <c r="B13" s="81"/>
      <c r="C13" s="81"/>
      <c r="D13" s="81"/>
      <c r="E13" s="81">
        <v>2</v>
      </c>
      <c r="F13" s="81"/>
      <c r="G13" s="81"/>
      <c r="H13" s="81"/>
      <c r="I13" s="81"/>
      <c r="J13">
        <f t="shared" si="0"/>
        <v>2</v>
      </c>
    </row>
    <row r="14" spans="1:10" x14ac:dyDescent="0.3">
      <c r="A14" s="115" t="s">
        <v>160</v>
      </c>
      <c r="B14" s="81">
        <v>3</v>
      </c>
      <c r="C14" s="81">
        <v>3</v>
      </c>
      <c r="D14" s="81"/>
      <c r="E14" s="81"/>
      <c r="F14" s="81"/>
      <c r="G14" s="81"/>
      <c r="H14" s="81"/>
      <c r="I14" s="81"/>
      <c r="J14">
        <f t="shared" si="0"/>
        <v>0</v>
      </c>
    </row>
    <row r="15" spans="1:10" x14ac:dyDescent="0.3">
      <c r="A15" s="114" t="s">
        <v>50</v>
      </c>
      <c r="B15" s="81">
        <v>2</v>
      </c>
      <c r="C15" s="81"/>
      <c r="D15" s="81"/>
      <c r="E15" s="81">
        <v>2</v>
      </c>
      <c r="F15" s="81"/>
      <c r="G15" s="81"/>
      <c r="H15" s="81"/>
      <c r="I15" s="81"/>
      <c r="J15">
        <f t="shared" si="0"/>
        <v>2</v>
      </c>
    </row>
    <row r="16" spans="1:10" x14ac:dyDescent="0.3">
      <c r="A16" s="114" t="s">
        <v>102</v>
      </c>
      <c r="B16" s="81"/>
      <c r="C16" s="81"/>
      <c r="D16" s="81">
        <v>3</v>
      </c>
      <c r="E16" s="81">
        <v>3</v>
      </c>
      <c r="F16" s="81"/>
      <c r="G16" s="81"/>
      <c r="H16" s="81"/>
      <c r="I16" s="81"/>
      <c r="J16">
        <f t="shared" si="0"/>
        <v>6</v>
      </c>
    </row>
    <row r="17" spans="1:10" x14ac:dyDescent="0.3">
      <c r="A17" s="114" t="s">
        <v>107</v>
      </c>
      <c r="B17" s="81">
        <v>6</v>
      </c>
      <c r="C17" s="81">
        <v>6</v>
      </c>
      <c r="D17" s="81"/>
      <c r="E17" s="81"/>
      <c r="F17" s="81"/>
      <c r="G17" s="81"/>
      <c r="H17" s="81"/>
      <c r="I17" s="81"/>
      <c r="J17">
        <f t="shared" si="0"/>
        <v>0</v>
      </c>
    </row>
    <row r="18" spans="1:10" x14ac:dyDescent="0.3">
      <c r="A18" s="114" t="s">
        <v>113</v>
      </c>
      <c r="B18" s="81"/>
      <c r="C18" s="81"/>
      <c r="D18" s="81">
        <v>6</v>
      </c>
      <c r="E18" s="81"/>
      <c r="F18" s="81"/>
      <c r="G18" s="81"/>
      <c r="H18" s="81"/>
      <c r="I18" s="81"/>
      <c r="J18">
        <f t="shared" si="0"/>
        <v>6</v>
      </c>
    </row>
    <row r="19" spans="1:10" x14ac:dyDescent="0.3">
      <c r="A19" s="115" t="s">
        <v>143</v>
      </c>
      <c r="B19" s="81"/>
      <c r="C19" s="81"/>
      <c r="D19" s="81">
        <v>8</v>
      </c>
      <c r="E19" s="81"/>
      <c r="F19" s="81"/>
      <c r="G19" s="81"/>
      <c r="H19" s="81"/>
      <c r="I19" s="81"/>
      <c r="J19">
        <f t="shared" si="0"/>
        <v>8</v>
      </c>
    </row>
    <row r="20" spans="1:10" x14ac:dyDescent="0.3">
      <c r="A20" s="114" t="s">
        <v>130</v>
      </c>
      <c r="B20" s="81">
        <v>3</v>
      </c>
      <c r="C20" s="81">
        <v>1</v>
      </c>
      <c r="D20" s="81"/>
      <c r="E20" s="81"/>
      <c r="F20" s="81"/>
      <c r="G20" s="81"/>
      <c r="H20" s="81"/>
      <c r="I20" s="81"/>
      <c r="J20">
        <f t="shared" si="0"/>
        <v>0</v>
      </c>
    </row>
    <row r="21" spans="1:10" x14ac:dyDescent="0.3">
      <c r="A21" s="114" t="s">
        <v>45</v>
      </c>
      <c r="B21" s="81">
        <v>3</v>
      </c>
      <c r="C21" s="81"/>
      <c r="D21" s="81"/>
      <c r="E21" s="81"/>
      <c r="F21" s="81"/>
      <c r="G21" s="81">
        <v>3</v>
      </c>
      <c r="H21" s="81"/>
      <c r="I21" s="81"/>
      <c r="J21">
        <f t="shared" si="0"/>
        <v>3</v>
      </c>
    </row>
    <row r="22" spans="1:10" x14ac:dyDescent="0.3">
      <c r="A22" s="114" t="s">
        <v>78</v>
      </c>
      <c r="B22" s="81">
        <v>3</v>
      </c>
      <c r="C22" s="81">
        <v>3</v>
      </c>
      <c r="D22" s="81"/>
      <c r="E22" s="81"/>
      <c r="F22" s="81"/>
      <c r="G22" s="81"/>
      <c r="H22" s="81"/>
      <c r="I22" s="81"/>
      <c r="J22">
        <f t="shared" si="0"/>
        <v>0</v>
      </c>
    </row>
    <row r="23" spans="1:10" x14ac:dyDescent="0.3">
      <c r="A23" s="114" t="s">
        <v>121</v>
      </c>
      <c r="B23" s="81"/>
      <c r="C23" s="81"/>
      <c r="D23" s="81"/>
      <c r="E23" s="81"/>
      <c r="F23" s="81"/>
      <c r="G23" s="81"/>
      <c r="H23" s="81">
        <v>6</v>
      </c>
      <c r="I23" s="81"/>
      <c r="J23">
        <f t="shared" si="0"/>
        <v>6</v>
      </c>
    </row>
    <row r="24" spans="1:10" x14ac:dyDescent="0.3">
      <c r="A24" s="114" t="s">
        <v>87</v>
      </c>
      <c r="B24" s="81">
        <v>2</v>
      </c>
      <c r="C24" s="81">
        <v>2</v>
      </c>
      <c r="D24" s="81"/>
      <c r="E24" s="81"/>
      <c r="F24" s="81"/>
      <c r="G24" s="81"/>
      <c r="H24" s="81"/>
      <c r="I24" s="81"/>
      <c r="J24">
        <f t="shared" si="0"/>
        <v>0</v>
      </c>
    </row>
    <row r="25" spans="1:10" x14ac:dyDescent="0.3">
      <c r="A25" s="116" t="s">
        <v>161</v>
      </c>
      <c r="B25" s="81">
        <v>2</v>
      </c>
      <c r="C25" s="81"/>
      <c r="D25" s="81"/>
      <c r="E25" s="81">
        <v>2</v>
      </c>
      <c r="F25" s="81"/>
      <c r="G25" s="81"/>
      <c r="H25" s="81"/>
      <c r="I25" s="81"/>
      <c r="J25">
        <f t="shared" si="0"/>
        <v>2</v>
      </c>
    </row>
    <row r="26" spans="1:10" x14ac:dyDescent="0.3">
      <c r="A26" s="114" t="s">
        <v>149</v>
      </c>
      <c r="B26" s="81">
        <v>4</v>
      </c>
      <c r="C26" s="81"/>
      <c r="D26" s="81"/>
      <c r="E26" s="81"/>
      <c r="F26" s="81"/>
      <c r="G26" s="81"/>
      <c r="H26" s="81"/>
      <c r="I26" s="81"/>
      <c r="J26">
        <f t="shared" si="0"/>
        <v>0</v>
      </c>
    </row>
    <row r="27" spans="1:10" x14ac:dyDescent="0.3">
      <c r="A27" s="114" t="s">
        <v>166</v>
      </c>
      <c r="B27" s="81">
        <v>1</v>
      </c>
      <c r="C27" s="81"/>
      <c r="D27" s="81"/>
      <c r="E27" s="81">
        <v>1</v>
      </c>
      <c r="F27" s="81"/>
      <c r="G27" s="81"/>
      <c r="H27" s="81"/>
      <c r="I27" s="81"/>
      <c r="J27">
        <f t="shared" si="0"/>
        <v>1</v>
      </c>
    </row>
    <row r="28" spans="1:10" x14ac:dyDescent="0.3">
      <c r="A28" s="114" t="s">
        <v>263</v>
      </c>
      <c r="B28" s="113">
        <v>1.5</v>
      </c>
      <c r="C28" s="81">
        <v>1</v>
      </c>
      <c r="D28" s="81"/>
      <c r="E28" s="113">
        <v>0.5</v>
      </c>
      <c r="F28" s="81"/>
      <c r="G28" s="81"/>
      <c r="H28" s="81"/>
      <c r="I28" s="81"/>
      <c r="J28">
        <f t="shared" si="0"/>
        <v>0.5</v>
      </c>
    </row>
    <row r="29" spans="1:10" x14ac:dyDescent="0.3">
      <c r="A29" s="114" t="s">
        <v>181</v>
      </c>
      <c r="B29" s="81">
        <v>2</v>
      </c>
      <c r="C29" s="81">
        <v>2</v>
      </c>
      <c r="D29" s="81"/>
      <c r="E29" s="81"/>
      <c r="F29" s="81"/>
      <c r="G29" s="81"/>
      <c r="H29" s="81"/>
      <c r="I29" s="81"/>
      <c r="J29">
        <f t="shared" si="0"/>
        <v>0</v>
      </c>
    </row>
    <row r="30" spans="1:10" x14ac:dyDescent="0.3">
      <c r="A30" s="114" t="s">
        <v>137</v>
      </c>
      <c r="B30" s="81" t="s">
        <v>267</v>
      </c>
      <c r="C30" s="81">
        <v>11</v>
      </c>
      <c r="D30" s="81">
        <v>11</v>
      </c>
      <c r="E30" s="81"/>
      <c r="F30" s="81"/>
      <c r="G30" s="81"/>
      <c r="H30" s="81"/>
      <c r="I30" s="81"/>
      <c r="J30">
        <f t="shared" si="0"/>
        <v>11</v>
      </c>
    </row>
    <row r="31" spans="1:10" x14ac:dyDescent="0.3">
      <c r="A31" s="114" t="s">
        <v>168</v>
      </c>
      <c r="B31" s="81">
        <v>2</v>
      </c>
      <c r="C31" s="81"/>
      <c r="D31" s="81"/>
      <c r="E31" s="81">
        <v>2</v>
      </c>
      <c r="F31" s="81"/>
      <c r="G31" s="81"/>
      <c r="H31" s="81"/>
      <c r="I31" s="81"/>
      <c r="J31">
        <f t="shared" si="0"/>
        <v>2</v>
      </c>
    </row>
    <row r="32" spans="1:10" x14ac:dyDescent="0.3">
      <c r="A32" s="114" t="s">
        <v>172</v>
      </c>
      <c r="B32" s="113">
        <v>2.5</v>
      </c>
      <c r="C32" s="113">
        <v>1.5</v>
      </c>
      <c r="D32" s="81">
        <v>4</v>
      </c>
      <c r="E32" s="81"/>
      <c r="F32" s="81"/>
      <c r="G32" s="81"/>
      <c r="H32" s="81"/>
      <c r="I32" s="81"/>
      <c r="J32">
        <f t="shared" si="0"/>
        <v>4</v>
      </c>
    </row>
    <row r="33" spans="1:10" x14ac:dyDescent="0.3">
      <c r="A33" s="114" t="s">
        <v>173</v>
      </c>
      <c r="B33" s="81"/>
      <c r="C33" s="81"/>
      <c r="D33" s="81">
        <v>6</v>
      </c>
      <c r="E33" s="81"/>
      <c r="F33" s="81"/>
      <c r="G33" s="81"/>
      <c r="H33" s="81"/>
      <c r="I33" s="81"/>
      <c r="J33">
        <f t="shared" si="0"/>
        <v>6</v>
      </c>
    </row>
    <row r="34" spans="1:10" x14ac:dyDescent="0.3">
      <c r="A34" s="114" t="s">
        <v>175</v>
      </c>
      <c r="B34" s="81"/>
      <c r="C34" s="81">
        <v>6</v>
      </c>
      <c r="D34" s="81"/>
      <c r="E34" s="81"/>
      <c r="F34" s="81"/>
      <c r="G34" s="81"/>
      <c r="H34" s="81"/>
      <c r="I34" s="81"/>
      <c r="J34">
        <f t="shared" ref="J34:J55" si="1">SUM(D34:I34)</f>
        <v>0</v>
      </c>
    </row>
    <row r="35" spans="1:10" x14ac:dyDescent="0.3">
      <c r="A35" s="114" t="s">
        <v>179</v>
      </c>
      <c r="B35" s="81"/>
      <c r="C35" s="81">
        <v>6</v>
      </c>
      <c r="D35" s="81"/>
      <c r="E35" s="81"/>
      <c r="F35" s="81"/>
      <c r="G35" s="81"/>
      <c r="H35" s="81"/>
      <c r="I35" s="81"/>
      <c r="J35">
        <f t="shared" si="1"/>
        <v>0</v>
      </c>
    </row>
    <row r="36" spans="1:10" x14ac:dyDescent="0.3">
      <c r="A36" s="114" t="s">
        <v>51</v>
      </c>
      <c r="B36" s="81">
        <v>2</v>
      </c>
      <c r="C36" s="81">
        <v>2</v>
      </c>
      <c r="D36" s="81"/>
      <c r="E36" s="81"/>
      <c r="F36" s="81"/>
      <c r="G36" s="81"/>
      <c r="H36" s="81"/>
      <c r="I36" s="81"/>
      <c r="J36">
        <f t="shared" si="1"/>
        <v>0</v>
      </c>
    </row>
    <row r="37" spans="1:10" x14ac:dyDescent="0.3">
      <c r="A37" s="114" t="s">
        <v>184</v>
      </c>
      <c r="B37" s="81"/>
      <c r="C37" s="81"/>
      <c r="D37" s="81">
        <v>6</v>
      </c>
      <c r="E37" s="81"/>
      <c r="F37" s="81"/>
      <c r="G37" s="81"/>
      <c r="H37" s="81"/>
      <c r="I37" s="81"/>
      <c r="J37">
        <f t="shared" si="1"/>
        <v>6</v>
      </c>
    </row>
    <row r="38" spans="1:10" x14ac:dyDescent="0.3">
      <c r="A38" s="114" t="s">
        <v>186</v>
      </c>
      <c r="B38" s="81"/>
      <c r="C38" s="81"/>
      <c r="D38" s="113">
        <v>2.5</v>
      </c>
      <c r="E38" s="81"/>
      <c r="F38" s="113">
        <v>3.5</v>
      </c>
      <c r="G38" s="81"/>
      <c r="H38" s="81"/>
      <c r="I38" s="81"/>
      <c r="J38">
        <f t="shared" si="1"/>
        <v>6</v>
      </c>
    </row>
    <row r="39" spans="1:10" x14ac:dyDescent="0.3">
      <c r="A39" s="114" t="s">
        <v>187</v>
      </c>
      <c r="B39" s="81"/>
      <c r="C39" s="81"/>
      <c r="D39" s="81">
        <v>2</v>
      </c>
      <c r="E39" s="113">
        <v>0.5</v>
      </c>
      <c r="F39" s="113">
        <v>3.5</v>
      </c>
      <c r="G39" s="81"/>
      <c r="H39" s="81"/>
      <c r="I39" s="81"/>
      <c r="J39">
        <f t="shared" si="1"/>
        <v>6</v>
      </c>
    </row>
    <row r="40" spans="1:10" x14ac:dyDescent="0.3">
      <c r="A40" s="115" t="s">
        <v>190</v>
      </c>
      <c r="B40" s="81">
        <v>2</v>
      </c>
      <c r="C40" s="81"/>
      <c r="D40" s="81"/>
      <c r="E40" s="81"/>
      <c r="F40" s="81"/>
      <c r="G40" s="81"/>
      <c r="H40" s="81"/>
      <c r="I40" s="81"/>
      <c r="J40">
        <f t="shared" si="1"/>
        <v>0</v>
      </c>
    </row>
    <row r="41" spans="1:10" x14ac:dyDescent="0.3">
      <c r="A41" s="114" t="s">
        <v>196</v>
      </c>
      <c r="B41" s="81"/>
      <c r="C41" s="81"/>
      <c r="D41" s="81"/>
      <c r="E41" s="81">
        <v>8</v>
      </c>
      <c r="F41" s="81"/>
      <c r="G41" s="81"/>
      <c r="H41" s="81"/>
      <c r="I41" s="81"/>
      <c r="J41">
        <f t="shared" si="1"/>
        <v>8</v>
      </c>
    </row>
    <row r="42" spans="1:10" x14ac:dyDescent="0.3">
      <c r="A42" s="115" t="s">
        <v>198</v>
      </c>
      <c r="B42" s="113">
        <v>0.5</v>
      </c>
      <c r="C42" s="81"/>
      <c r="D42" s="81"/>
      <c r="E42" s="113">
        <v>2.5</v>
      </c>
      <c r="F42" s="81"/>
      <c r="G42" s="81"/>
      <c r="H42" s="81"/>
      <c r="I42" s="81">
        <v>1</v>
      </c>
      <c r="J42">
        <f t="shared" si="1"/>
        <v>3.5</v>
      </c>
    </row>
    <row r="43" spans="1:10" x14ac:dyDescent="0.3">
      <c r="A43" s="114" t="s">
        <v>200</v>
      </c>
      <c r="B43" s="81">
        <v>3</v>
      </c>
      <c r="C43" s="81">
        <v>3</v>
      </c>
      <c r="D43" s="81"/>
      <c r="E43" s="81"/>
      <c r="F43" s="81"/>
      <c r="G43" s="81"/>
      <c r="H43" s="81"/>
      <c r="I43" s="81"/>
      <c r="J43">
        <f t="shared" si="1"/>
        <v>0</v>
      </c>
    </row>
    <row r="44" spans="1:10" x14ac:dyDescent="0.3">
      <c r="A44" s="114" t="s">
        <v>205</v>
      </c>
      <c r="B44" s="81">
        <v>2</v>
      </c>
      <c r="C44" s="81"/>
      <c r="D44" s="81"/>
      <c r="E44" s="81">
        <v>2</v>
      </c>
      <c r="F44" s="81"/>
      <c r="G44" s="81"/>
      <c r="H44" s="81"/>
      <c r="I44" s="81"/>
      <c r="J44">
        <f t="shared" si="1"/>
        <v>2</v>
      </c>
    </row>
    <row r="45" spans="1:10" x14ac:dyDescent="0.3">
      <c r="A45" s="114" t="s">
        <v>207</v>
      </c>
      <c r="B45" s="81">
        <v>1</v>
      </c>
      <c r="C45" s="81">
        <v>2</v>
      </c>
      <c r="D45" s="81"/>
      <c r="E45" s="81">
        <v>1</v>
      </c>
      <c r="F45" s="81"/>
      <c r="G45" s="81"/>
      <c r="H45" s="81"/>
      <c r="I45" s="81"/>
      <c r="J45">
        <f t="shared" si="1"/>
        <v>1</v>
      </c>
    </row>
    <row r="46" spans="1:10" x14ac:dyDescent="0.3">
      <c r="A46" s="115" t="s">
        <v>210</v>
      </c>
      <c r="B46" s="81"/>
      <c r="C46" s="113">
        <v>0.5</v>
      </c>
      <c r="D46" s="81"/>
      <c r="E46" s="81"/>
      <c r="F46" s="113">
        <v>5.5</v>
      </c>
      <c r="G46" s="81"/>
      <c r="H46" s="81"/>
      <c r="I46" s="81"/>
      <c r="J46">
        <f t="shared" si="1"/>
        <v>5.5</v>
      </c>
    </row>
    <row r="47" spans="1:10" x14ac:dyDescent="0.3">
      <c r="A47" s="115" t="s">
        <v>222</v>
      </c>
      <c r="B47" s="81"/>
      <c r="C47" s="81">
        <v>2</v>
      </c>
      <c r="D47" s="81"/>
      <c r="E47" s="81">
        <v>2</v>
      </c>
      <c r="F47" s="81"/>
      <c r="G47" s="81"/>
      <c r="H47" s="81"/>
      <c r="I47" s="81"/>
      <c r="J47">
        <f t="shared" si="1"/>
        <v>2</v>
      </c>
    </row>
    <row r="48" spans="1:10" x14ac:dyDescent="0.3">
      <c r="A48" s="114" t="s">
        <v>123</v>
      </c>
      <c r="B48" s="81">
        <v>3</v>
      </c>
      <c r="C48" s="81">
        <v>3</v>
      </c>
      <c r="D48" s="81"/>
      <c r="E48" s="81"/>
      <c r="F48" s="81"/>
      <c r="G48" s="81"/>
      <c r="H48" s="81"/>
      <c r="I48" s="81"/>
      <c r="J48">
        <f t="shared" si="1"/>
        <v>0</v>
      </c>
    </row>
    <row r="49" spans="1:10" x14ac:dyDescent="0.3">
      <c r="A49" s="114" t="s">
        <v>144</v>
      </c>
      <c r="B49" s="81">
        <v>6</v>
      </c>
      <c r="C49" s="81"/>
      <c r="D49" s="81"/>
      <c r="E49" s="81"/>
      <c r="F49" s="81"/>
      <c r="G49" s="81"/>
      <c r="H49" s="81"/>
      <c r="I49" s="81"/>
      <c r="J49">
        <f t="shared" si="1"/>
        <v>0</v>
      </c>
    </row>
    <row r="50" spans="1:10" x14ac:dyDescent="0.3">
      <c r="A50" s="115" t="s">
        <v>110</v>
      </c>
      <c r="B50" s="81">
        <v>3</v>
      </c>
      <c r="C50" s="81">
        <v>3</v>
      </c>
      <c r="D50" s="81"/>
      <c r="E50" s="81"/>
      <c r="F50" s="81"/>
      <c r="G50" s="81"/>
      <c r="H50" s="81"/>
      <c r="I50" s="81"/>
      <c r="J50">
        <f t="shared" si="1"/>
        <v>0</v>
      </c>
    </row>
    <row r="51" spans="1:10" x14ac:dyDescent="0.3">
      <c r="A51" s="114" t="s">
        <v>47</v>
      </c>
      <c r="B51" s="81">
        <v>4</v>
      </c>
      <c r="C51" s="81">
        <v>4</v>
      </c>
      <c r="D51" s="81"/>
      <c r="E51" s="81"/>
      <c r="F51" s="81"/>
      <c r="G51" s="81"/>
      <c r="H51" s="81"/>
      <c r="I51" s="81"/>
      <c r="J51">
        <f t="shared" si="1"/>
        <v>0</v>
      </c>
    </row>
    <row r="52" spans="1:10" x14ac:dyDescent="0.3">
      <c r="A52" s="114" t="s">
        <v>118</v>
      </c>
      <c r="B52" s="81"/>
      <c r="C52" s="81">
        <v>6</v>
      </c>
      <c r="D52" s="81"/>
      <c r="E52" s="81">
        <v>2</v>
      </c>
      <c r="F52" s="81"/>
      <c r="G52" s="81"/>
      <c r="H52" s="81"/>
      <c r="I52" s="81"/>
      <c r="J52">
        <f t="shared" si="1"/>
        <v>2</v>
      </c>
    </row>
    <row r="53" spans="1:10" x14ac:dyDescent="0.3">
      <c r="A53" s="114" t="s">
        <v>48</v>
      </c>
      <c r="B53" s="81">
        <v>3</v>
      </c>
      <c r="C53" s="81">
        <v>3</v>
      </c>
      <c r="D53" s="81"/>
      <c r="E53" s="81"/>
      <c r="F53" s="81"/>
      <c r="G53" s="81"/>
      <c r="H53" s="81"/>
      <c r="I53" s="81"/>
      <c r="J53">
        <f t="shared" si="1"/>
        <v>0</v>
      </c>
    </row>
    <row r="54" spans="1:10" x14ac:dyDescent="0.3">
      <c r="A54" s="114" t="s">
        <v>192</v>
      </c>
      <c r="B54" s="81">
        <v>12</v>
      </c>
      <c r="C54" s="81">
        <v>12</v>
      </c>
      <c r="D54" s="81"/>
      <c r="E54" s="81"/>
      <c r="F54" s="81"/>
      <c r="G54" s="81"/>
      <c r="H54" s="81"/>
      <c r="I54" s="81"/>
      <c r="J54">
        <f t="shared" ref="J54" si="2">SUM(D54:I54)</f>
        <v>0</v>
      </c>
    </row>
    <row r="55" spans="1:10" x14ac:dyDescent="0.3">
      <c r="A55" s="114" t="s">
        <v>299</v>
      </c>
      <c r="B55" s="81"/>
      <c r="C55" s="81">
        <v>2</v>
      </c>
      <c r="D55" s="81"/>
      <c r="E55" s="81"/>
      <c r="F55" s="81"/>
      <c r="G55" s="81"/>
      <c r="H55" s="81">
        <v>2</v>
      </c>
      <c r="I55" s="81"/>
      <c r="J55">
        <f t="shared" si="1"/>
        <v>2</v>
      </c>
    </row>
    <row r="57" spans="1:10" x14ac:dyDescent="0.3">
      <c r="B57">
        <f t="shared" ref="B57:J57" si="3">SUM(B2:B56)</f>
        <v>99.5</v>
      </c>
      <c r="C57">
        <f>SUM(C2:C56)</f>
        <v>99</v>
      </c>
      <c r="D57">
        <f t="shared" si="3"/>
        <v>54.5</v>
      </c>
      <c r="E57">
        <f t="shared" si="3"/>
        <v>37.5</v>
      </c>
      <c r="F57">
        <f t="shared" si="3"/>
        <v>14.5</v>
      </c>
      <c r="G57">
        <f t="shared" si="3"/>
        <v>3</v>
      </c>
      <c r="H57">
        <f t="shared" si="3"/>
        <v>8</v>
      </c>
      <c r="I57">
        <f t="shared" si="3"/>
        <v>1</v>
      </c>
      <c r="J57" s="118">
        <f t="shared" si="3"/>
        <v>118.5</v>
      </c>
    </row>
  </sheetData>
  <hyperlinks>
    <hyperlink ref="A15" r:id="rId1" location="'OP23 JUN'!A1" xr:uid="{2CF70CC2-8084-4FCF-8614-F4D7E68A6156}"/>
    <hyperlink ref="A16" r:id="rId2" location="'OP43 MAR '!A1" xr:uid="{DBEE33DE-F67B-4C92-B6CE-F493DDB74F01}"/>
    <hyperlink ref="A17" r:id="rId3" location="'OP61 JUN'!A1" xr:uid="{C496431C-0B29-48B2-83DF-377E9A37E827}"/>
    <hyperlink ref="A18" r:id="rId4" location="'OP63 JUN'!A1" xr:uid="{A80DC25F-654D-47B8-8412-A3DF1D5DC2BB}"/>
    <hyperlink ref="A19" r:id="rId5" location="'OP23 AGO'!A1" xr:uid="{0D17D695-B55D-46C6-98A4-98C3BA432318}"/>
    <hyperlink ref="A20" r:id="rId6" location="'OP24 JUL '!A1" xr:uid="{6024FD99-F534-4702-8821-4668A9D225CF}"/>
    <hyperlink ref="A21" r:id="rId7" location="'OP18 JUL '!A1" xr:uid="{1C07483B-228C-4016-821E-E2D0EC9A1DEF}"/>
    <hyperlink ref="A22" r:id="rId8" location="'OP38 JUL '!A1" xr:uid="{037FFD52-857E-4584-8AAD-2B9F8F7B2FAB}"/>
    <hyperlink ref="A23" r:id="rId9" location="'OP01 JUL '!A1" xr:uid="{81566D78-A9AE-4D40-B75B-F6616610960C}"/>
    <hyperlink ref="A24" r:id="rId10" location="'OP06 JUL '!A1" xr:uid="{AA7615E0-A1E1-461D-93BC-462ED3DA2ACA}"/>
    <hyperlink ref="A25" r:id="rId11" location="'OP08 JUL '!A1" xr:uid="{36E20BEE-5F37-48AB-87D1-864121BCC844}"/>
    <hyperlink ref="A26" r:id="rId12" location="'OP24 JUN'!A1" xr:uid="{4595B3ED-825C-4F4B-844A-6B433A7B70B3}"/>
    <hyperlink ref="A27" r:id="rId13" location="'OP29 JUN '!A1" xr:uid="{71FF54B3-842A-4028-AD53-5B9FA52B0A1F}"/>
    <hyperlink ref="A28" r:id="rId14" location="'OP10 27-01JUL '!A1" display="OP10 JUL" xr:uid="{84375222-320E-4E8C-A424-5CC80F90E5F0}"/>
    <hyperlink ref="A29" r:id="rId15" location="'OP21 22 AGOS '!A1" xr:uid="{27BC74A9-3291-418D-AC45-122B607AFFD2}"/>
    <hyperlink ref="A30" r:id="rId16" location="'OP15-01'!A1" xr:uid="{2DEF58BB-077E-4ADE-87BF-57883E45E676}"/>
    <hyperlink ref="A31" r:id="rId17" location="'OP30 AGOS '!A1" xr:uid="{F607E40E-0BB6-433B-A379-21FB8BAC1062}"/>
    <hyperlink ref="A32" r:id="rId18" location="'OP54 JUN'!A1" xr:uid="{B43902E1-C8F9-443D-86D6-82DE2A91E9B6}"/>
    <hyperlink ref="A33" r:id="rId19" location="'OP33 AGOS'!A1" xr:uid="{3B989375-2DDA-478E-A875-B9E875BDD367}"/>
    <hyperlink ref="A34" r:id="rId20" location="'OP11 12 AGOS'!A1" xr:uid="{6369FD91-4C3A-49FB-B422-29ED9D3FAB92}"/>
    <hyperlink ref="A35" r:id="rId21" location="'OP24 AGOS'!A1" xr:uid="{8EA3BA5A-1D3C-4426-B5D0-271DAB01F28F}"/>
    <hyperlink ref="A36" r:id="rId22" location="'OP12 MAY'!A1" xr:uid="{5BBE05CC-1990-44E4-9647-33059DE30E0B}"/>
    <hyperlink ref="A37" r:id="rId23" location="'OP43 AGOS '!A1" xr:uid="{291946D9-D84E-47C5-914A-37A766C75D12}"/>
    <hyperlink ref="A38" r:id="rId24" location="'OP42 AGOS'!A1" xr:uid="{5F5C06DE-0745-4AD7-A5D4-2C79CE95DF24}"/>
    <hyperlink ref="A39" r:id="rId25" location="'OP32 AGOS '!A1" xr:uid="{8C800B46-1D09-408D-B522-0A3871771EE2}"/>
    <hyperlink ref="A40" r:id="rId26" location="'OP17 01'!A1" xr:uid="{30D0A959-29B7-4853-8D86-0DC27956C66B}"/>
    <hyperlink ref="A41" r:id="rId27" location="'OP38 AGOS'!A1" xr:uid="{57F85F9C-E0B1-4822-B032-09B8CD6667C2}"/>
    <hyperlink ref="A42" r:id="rId28" location="'OP52 AGOS'!A1" xr:uid="{C8434903-8387-4518-94E1-C4C55B244939}"/>
    <hyperlink ref="A43" r:id="rId29" location="'OP34 AGOS'!A1" xr:uid="{257981A1-F8AD-4F5D-81A8-E7D5106B664E}"/>
    <hyperlink ref="A44" r:id="rId30" location="'OP45 AGOS'!A1" xr:uid="{A8E059B4-8411-4D8C-958E-F2D77D602AFD}"/>
    <hyperlink ref="A45" r:id="rId31" location="'OP46 AGOS'!A1" xr:uid="{5978F7DF-AC26-4E5F-A459-909CDD72E6BE}"/>
    <hyperlink ref="A46" r:id="rId32" location="'OP31 AGOS '!A1" xr:uid="{900CFF9E-77E2-4F05-BCD5-752EFE792DB5}"/>
    <hyperlink ref="A47" r:id="rId33" location="'OP21 22-01 AGOS '!A1" xr:uid="{1450C4CC-3A44-43B1-8631-D974DF692BE4}"/>
    <hyperlink ref="A2" r:id="rId34" location="'OP40 JUL '!A1" xr:uid="{4F21CFD7-0019-4A24-A995-0A02ED96CB30}"/>
    <hyperlink ref="A3" r:id="rId35" location="'OP09 JUL '!A1" xr:uid="{B5EA83A8-C8CA-4412-A097-EA7F190ABC64}"/>
    <hyperlink ref="A4" r:id="rId36" location="'OP36 JUL '!A1" xr:uid="{EB2D6BFC-F05B-42C6-B5B8-B16F71525077}"/>
    <hyperlink ref="A5" r:id="rId37" location="'OP41 JUL '!A1" xr:uid="{334E3C76-35F6-4976-BD0D-C921571FE6DF}"/>
    <hyperlink ref="A6" r:id="rId38" location="'OP39 JUL '!A1" xr:uid="{1BC694B3-0895-40F3-83D5-B6F4A5C246A6}"/>
    <hyperlink ref="A8" r:id="rId39" location="'OP42 JUL '!A1" xr:uid="{C029A424-A62D-492A-B551-5A948C02AD4A}"/>
    <hyperlink ref="A9" r:id="rId40" location="'OP03 04 AGO'!A1" xr:uid="{2CA3EEC0-708D-4BCB-BED0-0AA5B01D66EA}"/>
    <hyperlink ref="A14" r:id="rId41" location="'OP37 AGOS '!A1" xr:uid="{0CECA49D-942C-4755-A9E7-A856F69FD52F}"/>
    <hyperlink ref="A12" r:id="rId42" location="'OP07 AGOS'!A1" xr:uid="{F4B68508-4D6D-4571-AF46-22CAD0BEDB64}"/>
    <hyperlink ref="A7" r:id="rId43" location="'OP20 AGO '!A1" xr:uid="{1557C037-51B1-4E06-9C34-0F5CDDDF13AA}"/>
    <hyperlink ref="A10" r:id="rId44" location="'OP02 AGOS '!A1" xr:uid="{B8D152D0-D30E-4C3C-995F-EAFC49093D3A}"/>
    <hyperlink ref="A11" r:id="rId45" location="'OP41 AGOS '!A1" xr:uid="{582B46B5-8718-48BE-89C2-04512E06FA30}"/>
    <hyperlink ref="A13" r:id="rId46" location="'OP01 AGOS '!A1" xr:uid="{5171CC8D-62DC-4B30-899F-278EBB48F251}"/>
    <hyperlink ref="A48" r:id="rId47" location="'OP13 14 AGOS'!A1" xr:uid="{92E45F8C-9EC2-45FC-9EE3-C8E2EBB23567}"/>
    <hyperlink ref="A49" r:id="rId48" location="'OP08 AGOS '!A1" xr:uid="{0120784E-DE57-4752-AAD5-E26F49E5AA3D}"/>
    <hyperlink ref="A50" r:id="rId49" location="'OP05 06 AGOS '!A1" xr:uid="{582F6C4F-A893-4221-AD85-F4E579682E95}"/>
    <hyperlink ref="A51" r:id="rId50" location="'OP32 JUL'!A1" xr:uid="{9962B458-5B7D-4A87-9A18-50F339F71694}"/>
    <hyperlink ref="A52" r:id="rId51" location="'OP09 AGOS'!A1" xr:uid="{3C736752-0F7D-45FE-B5C5-055B60A8BE1A}"/>
    <hyperlink ref="A53" r:id="rId52" location="'OP28 JUL'!A1" xr:uid="{968ED3D6-4D04-4DE1-BF57-488A279C9999}"/>
    <hyperlink ref="A55" r:id="rId53" location="'OP19 AGOS '!A1" display="OP19 AGOS" xr:uid="{B6CE81FD-94F8-47B5-98FA-930468CE56AB}"/>
    <hyperlink ref="A54" r:id="rId54" location="'OP19 AGOS '!A1" xr:uid="{A43D89A8-224E-4AAF-A8CF-9ED3CF680295}"/>
  </hyperlinks>
  <pageMargins left="0.7" right="0.7" top="0.75" bottom="0.75" header="0.3" footer="0.3"/>
  <pageSetup paperSize="9" orientation="portrait" r:id="rId55"/>
  <drawing r:id="rId56"/>
  <legacy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D7" sqref="D7"/>
    </sheetView>
  </sheetViews>
  <sheetFormatPr baseColWidth="10" defaultRowHeight="14.4" x14ac:dyDescent="0.3"/>
  <cols>
    <col min="3" max="3" width="11.88671875" bestFit="1" customWidth="1"/>
    <col min="4" max="4" width="34.88671875" customWidth="1"/>
    <col min="5" max="5" width="19.6640625" customWidth="1"/>
  </cols>
  <sheetData>
    <row r="1" spans="1:5" x14ac:dyDescent="0.3">
      <c r="A1" s="78" t="s">
        <v>24</v>
      </c>
      <c r="B1" s="79"/>
      <c r="C1" s="79"/>
      <c r="D1" s="79"/>
      <c r="E1" s="80"/>
    </row>
    <row r="2" spans="1:5" ht="28.8" x14ac:dyDescent="0.3">
      <c r="A2" s="23" t="s">
        <v>25</v>
      </c>
      <c r="B2" s="23" t="s">
        <v>26</v>
      </c>
      <c r="C2" s="23" t="s">
        <v>27</v>
      </c>
      <c r="D2" s="23" t="s">
        <v>28</v>
      </c>
      <c r="E2" s="23" t="s">
        <v>29</v>
      </c>
    </row>
    <row r="3" spans="1:5" x14ac:dyDescent="0.3">
      <c r="A3" s="25">
        <v>1</v>
      </c>
      <c r="B3" s="26" t="s">
        <v>30</v>
      </c>
      <c r="C3" s="27">
        <f>COUNTIF('DATOS GENERALES '!E:E,CALIBRACION!B3)</f>
        <v>7</v>
      </c>
      <c r="D3" s="26" t="s">
        <v>242</v>
      </c>
      <c r="E3" s="26"/>
    </row>
    <row r="4" spans="1:5" x14ac:dyDescent="0.3">
      <c r="A4" s="25">
        <v>2</v>
      </c>
      <c r="B4" s="26" t="s">
        <v>31</v>
      </c>
      <c r="C4" s="27">
        <f>COUNTIF('DATOS GENERALES '!E:E,CALIBRACION!B4)</f>
        <v>10</v>
      </c>
      <c r="D4" s="26" t="s">
        <v>243</v>
      </c>
      <c r="E4" s="26"/>
    </row>
    <row r="5" spans="1:5" x14ac:dyDescent="0.3">
      <c r="A5" s="25">
        <v>3</v>
      </c>
      <c r="B5" s="26" t="s">
        <v>32</v>
      </c>
      <c r="C5" s="27">
        <f>COUNTIF('DATOS GENERALES '!E:E,CALIBRACION!B5)</f>
        <v>8</v>
      </c>
      <c r="D5" s="26" t="s">
        <v>244</v>
      </c>
      <c r="E5" s="26"/>
    </row>
    <row r="6" spans="1:5" x14ac:dyDescent="0.3">
      <c r="A6" s="25">
        <v>4</v>
      </c>
      <c r="B6" s="26" t="s">
        <v>60</v>
      </c>
      <c r="C6" s="27">
        <f>COUNTIF('DATOS GENERALES '!E:E,CALIBRACION!B6)</f>
        <v>15</v>
      </c>
      <c r="D6" s="26" t="s">
        <v>300</v>
      </c>
      <c r="E6" s="26"/>
    </row>
    <row r="7" spans="1:5" x14ac:dyDescent="0.3">
      <c r="A7" s="25">
        <v>5</v>
      </c>
      <c r="B7" s="26" t="s">
        <v>33</v>
      </c>
      <c r="C7" s="27">
        <f>COUNTIF('DATOS GENERALES '!E:E,CALIBRACION!B7)</f>
        <v>14</v>
      </c>
      <c r="D7" s="26" t="s">
        <v>245</v>
      </c>
      <c r="E7" s="26"/>
    </row>
    <row r="8" spans="1:5" x14ac:dyDescent="0.3">
      <c r="A8" s="25">
        <v>6</v>
      </c>
      <c r="B8" s="26" t="s">
        <v>34</v>
      </c>
      <c r="C8" s="27">
        <f>COUNTIF('DATOS GENERALES '!E:E,CALIBRACION!B8)</f>
        <v>1</v>
      </c>
      <c r="D8" s="26" t="s">
        <v>246</v>
      </c>
      <c r="E8" s="26"/>
    </row>
    <row r="9" spans="1:5" x14ac:dyDescent="0.3">
      <c r="A9" s="216" t="s">
        <v>95</v>
      </c>
      <c r="B9" s="216"/>
      <c r="C9" s="81">
        <f>SUM(C3:C8)</f>
        <v>55</v>
      </c>
    </row>
  </sheetData>
  <mergeCells count="1">
    <mergeCell ref="A9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GENERALES </vt:lpstr>
      <vt:lpstr>RESUMEN </vt:lpstr>
      <vt:lpstr>Hoja1</vt:lpstr>
      <vt:lpstr>MONTAJE </vt:lpstr>
      <vt:lpstr>CALIBRACION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2026-08-03T17:18:20Z</dcterms:created>
  <dcterms:modified xsi:type="dcterms:W3CDTF">2026-09-15T02:30:06Z</dcterms:modified>
</cp:coreProperties>
</file>