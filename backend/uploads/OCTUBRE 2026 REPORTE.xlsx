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"/>
    </mc:Choice>
  </mc:AlternateContent>
  <xr:revisionPtr revIDLastSave="0" documentId="13_ncr:1_{BA298CFD-1AC9-4297-99E4-4A275FEC2B7E}" xr6:coauthVersionLast="47" xr6:coauthVersionMax="47" xr10:uidLastSave="{00000000-0000-0000-0000-000000000000}"/>
  <bookViews>
    <workbookView xWindow="-108" yWindow="-108" windowWidth="23256" windowHeight="12456" activeTab="3" xr2:uid="{8D15FAD3-5CB3-4271-9BC0-185F704E31E9}"/>
  </bookViews>
  <sheets>
    <sheet name="DATOS GENERALES" sheetId="1" r:id="rId1"/>
    <sheet name="MONTAJE " sheetId="3" r:id="rId2"/>
    <sheet name="CALIBRACION" sheetId="5" r:id="rId3"/>
    <sheet name="URDIDO" sheetId="6" r:id="rId4"/>
    <sheet name="ORDENES ACABADAS" sheetId="7" r:id="rId5"/>
  </sheets>
  <definedNames>
    <definedName name="_xlnm._FilterDatabase" localSheetId="2" hidden="1">CALIBRACION!$A$1:$H$30</definedName>
    <definedName name="_xlnm._FilterDatabase" localSheetId="0" hidden="1">'DATOS GENERALES'!$A$1:$AI$41</definedName>
    <definedName name="_xlnm._FilterDatabase" localSheetId="1" hidden="1">'MONTAJE '!$A$1:$K$33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9" i="6" l="1"/>
  <c r="B281" i="6"/>
  <c r="B278" i="6"/>
  <c r="B247" i="6"/>
  <c r="B237" i="6"/>
  <c r="B262" i="6"/>
  <c r="B253" i="6"/>
  <c r="B250" i="6"/>
  <c r="B233" i="6"/>
  <c r="B219" i="6"/>
  <c r="B273" i="6"/>
  <c r="B267" i="6"/>
  <c r="F35" i="1"/>
  <c r="T27" i="1"/>
  <c r="AH35" i="1"/>
  <c r="AF39" i="1"/>
  <c r="AH39" i="1" s="1"/>
  <c r="AF40" i="1"/>
  <c r="AH40" i="1" s="1"/>
  <c r="AF32" i="1"/>
  <c r="AH32" i="1" s="1"/>
  <c r="AF33" i="1"/>
  <c r="AH33" i="1" s="1"/>
  <c r="AF34" i="1"/>
  <c r="AH34" i="1" s="1"/>
  <c r="X39" i="1"/>
  <c r="X40" i="1"/>
  <c r="X32" i="1"/>
  <c r="X33" i="1"/>
  <c r="X34" i="1"/>
  <c r="X35" i="1"/>
  <c r="V39" i="1"/>
  <c r="V40" i="1"/>
  <c r="V32" i="1"/>
  <c r="V33" i="1"/>
  <c r="V34" i="1"/>
  <c r="V35" i="1"/>
  <c r="T39" i="1"/>
  <c r="T40" i="1"/>
  <c r="T32" i="1"/>
  <c r="T33" i="1"/>
  <c r="T34" i="1"/>
  <c r="T35" i="1"/>
  <c r="T36" i="1"/>
  <c r="R39" i="1"/>
  <c r="R40" i="1"/>
  <c r="R32" i="1"/>
  <c r="R33" i="1"/>
  <c r="R34" i="1"/>
  <c r="R35" i="1"/>
  <c r="R36" i="1"/>
  <c r="AF38" i="1"/>
  <c r="V29" i="1"/>
  <c r="V30" i="1"/>
  <c r="V31" i="1"/>
  <c r="T29" i="1"/>
  <c r="T30" i="1"/>
  <c r="T31" i="1"/>
  <c r="T38" i="1"/>
  <c r="R29" i="1"/>
  <c r="R30" i="1"/>
  <c r="R31" i="1"/>
  <c r="R38" i="1"/>
  <c r="AF15" i="1" l="1"/>
  <c r="AH15" i="1" s="1"/>
  <c r="R22" i="1" l="1"/>
  <c r="AF8" i="1"/>
  <c r="B212" i="6" l="1"/>
  <c r="B208" i="6"/>
  <c r="B196" i="6"/>
  <c r="B193" i="6"/>
  <c r="B187" i="6"/>
  <c r="B177" i="6"/>
  <c r="B175" i="6"/>
  <c r="B168" i="6"/>
  <c r="B156" i="6"/>
  <c r="B154" i="6"/>
  <c r="B148" i="6"/>
  <c r="B137" i="6"/>
  <c r="B134" i="6"/>
  <c r="B129" i="6"/>
  <c r="B124" i="6"/>
  <c r="O15" i="6" s="1"/>
  <c r="B117" i="6"/>
  <c r="B114" i="6"/>
  <c r="B108" i="6"/>
  <c r="O13" i="6" s="1"/>
  <c r="B98" i="6"/>
  <c r="B92" i="6"/>
  <c r="M13" i="6" s="1"/>
  <c r="B89" i="6"/>
  <c r="O12" i="6" s="1"/>
  <c r="B82" i="6"/>
  <c r="B75" i="6"/>
  <c r="B68" i="6"/>
  <c r="B64" i="6"/>
  <c r="B60" i="6"/>
  <c r="O10" i="6" s="1"/>
  <c r="B50" i="6"/>
  <c r="M10" i="6" s="1"/>
  <c r="B46" i="6"/>
  <c r="O9" i="6" s="1"/>
  <c r="B37" i="6"/>
  <c r="B32" i="6"/>
  <c r="M9" i="6" s="1"/>
  <c r="B25" i="6"/>
  <c r="M7" i="6" s="1"/>
  <c r="B19" i="6"/>
  <c r="I15" i="6"/>
  <c r="I14" i="6"/>
  <c r="B14" i="6"/>
  <c r="B12" i="6"/>
  <c r="I8" i="6"/>
  <c r="I7" i="6"/>
  <c r="B7" i="6"/>
  <c r="I6" i="6"/>
  <c r="I5" i="6"/>
  <c r="I4" i="6"/>
  <c r="B4" i="6"/>
  <c r="AF25" i="1"/>
  <c r="AH25" i="1" s="1"/>
  <c r="M11" i="6" l="1"/>
  <c r="M12" i="6"/>
  <c r="M5" i="6"/>
  <c r="M6" i="6"/>
  <c r="M15" i="6"/>
  <c r="AG18" i="1"/>
  <c r="AF18" i="1"/>
  <c r="L18" i="1"/>
  <c r="AG17" i="1" l="1"/>
  <c r="AG28" i="1" l="1"/>
  <c r="X10" i="1" l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8" i="1"/>
  <c r="X36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8" i="1"/>
  <c r="V36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8" i="1"/>
  <c r="R28" i="1"/>
  <c r="Y28" i="1"/>
  <c r="Z28" i="1" s="1"/>
  <c r="R27" i="1" l="1"/>
  <c r="Y27" i="1"/>
  <c r="Z27" i="1" s="1"/>
  <c r="R26" i="1" l="1"/>
  <c r="Y26" i="1"/>
  <c r="Z26" i="1" s="1"/>
  <c r="F26" i="1"/>
  <c r="AF26" i="1" l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H38" i="1"/>
  <c r="AF36" i="1"/>
  <c r="AH36" i="1" s="1"/>
  <c r="R25" i="1" l="1"/>
  <c r="Y25" i="1"/>
  <c r="Z25" i="1" s="1"/>
  <c r="L25" i="1" l="1"/>
  <c r="L26" i="1"/>
  <c r="L27" i="1"/>
  <c r="L28" i="1"/>
  <c r="L29" i="1"/>
  <c r="L30" i="1"/>
  <c r="L31" i="1"/>
  <c r="L38" i="1"/>
  <c r="L40" i="1"/>
  <c r="AG20" i="1" l="1"/>
  <c r="AF20" i="1"/>
  <c r="AH20" i="1" s="1"/>
  <c r="AH18" i="1"/>
  <c r="AF19" i="1"/>
  <c r="AH19" i="1" s="1"/>
  <c r="AF21" i="1"/>
  <c r="AH21" i="1" s="1"/>
  <c r="AF22" i="1"/>
  <c r="AH22" i="1" s="1"/>
  <c r="AF23" i="1"/>
  <c r="AH23" i="1" s="1"/>
  <c r="AF24" i="1"/>
  <c r="AH24" i="1" s="1"/>
  <c r="F13" i="1"/>
  <c r="AG9" i="1"/>
  <c r="AF9" i="1"/>
  <c r="AH9" i="1" s="1"/>
  <c r="AF12" i="1"/>
  <c r="AH12" i="1" s="1"/>
  <c r="AF13" i="1"/>
  <c r="AH13" i="1" s="1"/>
  <c r="AF14" i="1"/>
  <c r="AH14" i="1" s="1"/>
  <c r="AF16" i="1"/>
  <c r="AH16" i="1" s="1"/>
  <c r="AF17" i="1"/>
  <c r="AH1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36" i="1"/>
  <c r="Z36" i="1" s="1"/>
  <c r="X8" i="1"/>
  <c r="X9" i="1"/>
  <c r="R24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3" i="1"/>
  <c r="L12" i="1"/>
  <c r="L13" i="1"/>
  <c r="L14" i="1"/>
  <c r="L15" i="1"/>
  <c r="L16" i="1"/>
  <c r="L17" i="1"/>
  <c r="L19" i="1"/>
  <c r="L20" i="1"/>
  <c r="L21" i="1"/>
  <c r="L22" i="1"/>
  <c r="L23" i="1"/>
  <c r="L24" i="1"/>
  <c r="L36" i="1"/>
  <c r="AG3" i="1"/>
  <c r="X2" i="1"/>
  <c r="X3" i="1"/>
  <c r="X4" i="1"/>
  <c r="X5" i="1"/>
  <c r="X6" i="1"/>
  <c r="X7" i="1"/>
  <c r="AH8" i="1"/>
  <c r="AF10" i="1"/>
  <c r="AH10" i="1" s="1"/>
  <c r="L8" i="1"/>
  <c r="L9" i="1"/>
  <c r="L10" i="1"/>
  <c r="L11" i="1"/>
  <c r="R4" i="1"/>
  <c r="R5" i="1"/>
  <c r="R6" i="1"/>
  <c r="AG2" i="1"/>
  <c r="J57" i="3"/>
  <c r="I57" i="3"/>
  <c r="H57" i="3"/>
  <c r="G57" i="3"/>
  <c r="F57" i="3"/>
  <c r="E57" i="3"/>
  <c r="D57" i="3"/>
  <c r="C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R2" i="1"/>
  <c r="R3" i="1"/>
  <c r="Y2" i="1"/>
  <c r="Z2" i="1" s="1"/>
  <c r="Y3" i="1"/>
  <c r="Z3" i="1" s="1"/>
  <c r="Y4" i="1"/>
  <c r="Z4" i="1" s="1"/>
  <c r="Y5" i="1"/>
  <c r="Z5" i="1" s="1"/>
  <c r="Y6" i="1"/>
  <c r="Z6" i="1" s="1"/>
  <c r="Y7" i="1"/>
  <c r="Z7" i="1" s="1"/>
  <c r="T2" i="1"/>
  <c r="T3" i="1"/>
  <c r="V2" i="1"/>
  <c r="V3" i="1"/>
  <c r="AF2" i="1"/>
  <c r="AH2" i="1" s="1"/>
  <c r="AF3" i="1"/>
  <c r="AH3" i="1" s="1"/>
  <c r="AF4" i="1"/>
  <c r="AH4" i="1" s="1"/>
  <c r="L2" i="1"/>
  <c r="L3" i="1"/>
  <c r="L4" i="1"/>
  <c r="AF5" i="1"/>
  <c r="AH5" i="1" s="1"/>
  <c r="AF6" i="1"/>
  <c r="AH6" i="1" s="1"/>
  <c r="AF7" i="1"/>
  <c r="AH7" i="1" s="1"/>
  <c r="L5" i="1"/>
  <c r="L6" i="1"/>
  <c r="L7" i="1"/>
  <c r="L41" i="1"/>
  <c r="AF11" i="1"/>
  <c r="AH11" i="1" s="1"/>
  <c r="AF41" i="1"/>
  <c r="AH41" i="1" s="1"/>
  <c r="T41" i="1"/>
  <c r="V41" i="1"/>
  <c r="Y41" i="1"/>
  <c r="R41" i="1"/>
  <c r="K5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66413D3E-450A-41DD-A799-33074960467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35" authorId="0" shapeId="0" xr:uid="{B8788FC3-FBFD-4712-ABAC-1094D036B695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<sst xmlns="http://schemas.openxmlformats.org/spreadsheetml/2006/main" count="1442" uniqueCount="457">
  <si>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</si>
  <si>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</si>
  <si>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</si>
  <si>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</si>
  <si>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</si>
  <si>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</si>
  <si>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</si>
  <si>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</si>
  <si>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</si>
  <si>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</si>
  <si>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</si>
  <si>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</si>
  <si>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</si>
  <si>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</si>
  <si>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>INICIO PRODUCCION EN MAQUINA</t>
  </si>
  <si>
    <t xml:space="preserve">FECHA URDIDO </t>
  </si>
  <si>
    <t>DIAS</t>
  </si>
  <si>
    <t>FIN PRODUCCION</t>
  </si>
  <si>
    <t>FECHA FIN ENVOLTURA</t>
  </si>
  <si>
    <t>FECHA DE FACTURACION</t>
  </si>
  <si>
    <t xml:space="preserve">DIAS TOTAL DE ENTREGA </t>
  </si>
  <si>
    <t xml:space="preserve">EFICIENCIA DE ENTREGA </t>
  </si>
  <si>
    <t>ESTADO</t>
  </si>
  <si>
    <t xml:space="preserve">CLIENTE </t>
  </si>
  <si>
    <t>MTS X HORA</t>
  </si>
  <si>
    <t>TIRAS</t>
  </si>
  <si>
    <t>HORARIO 10/24H</t>
  </si>
  <si>
    <t xml:space="preserve">DIAS ESTANDAR DE PRODUCCION </t>
  </si>
  <si>
    <t xml:space="preserve">DIAS REALES DE PRODUCCION </t>
  </si>
  <si>
    <t>FECHA REAL FINAL PRODUCCION</t>
  </si>
  <si>
    <t>OBSERVACIONES</t>
  </si>
  <si>
    <t>REATA</t>
  </si>
  <si>
    <t>JAVIER</t>
  </si>
  <si>
    <t>OSCAR</t>
  </si>
  <si>
    <t>ORDENES DE PRODUCCION SEPTIEMBRE</t>
  </si>
  <si>
    <t>JESSICA</t>
  </si>
  <si>
    <t>JOSE</t>
  </si>
  <si>
    <t>TELAR #17</t>
  </si>
  <si>
    <t xml:space="preserve">TERMINADO </t>
  </si>
  <si>
    <t xml:space="preserve">                          STOCK</t>
  </si>
  <si>
    <t>OP28 SEP</t>
  </si>
  <si>
    <t>OP27 AGO</t>
  </si>
  <si>
    <t>OP26 AGO</t>
  </si>
  <si>
    <t>OP38 SEP</t>
  </si>
  <si>
    <t>REATA ZAPATO TAFETA DELGADA 10MM</t>
  </si>
  <si>
    <t xml:space="preserve">ORDEN </t>
  </si>
  <si>
    <t xml:space="preserve">AMPARO </t>
  </si>
  <si>
    <t>EVELYN</t>
  </si>
  <si>
    <t xml:space="preserve">JAVIER </t>
  </si>
  <si>
    <t xml:space="preserve">OSCAR </t>
  </si>
  <si>
    <t>ALEXANDER</t>
  </si>
  <si>
    <t xml:space="preserve">CLAUDIO </t>
  </si>
  <si>
    <t>CARLOS</t>
  </si>
  <si>
    <t>NUNEZ ACOSTA RAUL</t>
  </si>
  <si>
    <t>OP33-35 SEP</t>
  </si>
  <si>
    <t>TELAR #19</t>
  </si>
  <si>
    <t>OP49 SEP</t>
  </si>
  <si>
    <t>OP44 SEP</t>
  </si>
  <si>
    <t>OP29 AGO</t>
  </si>
  <si>
    <t>OP04 SEP</t>
  </si>
  <si>
    <t>OP47 SEP</t>
  </si>
  <si>
    <t>OP20 SEP</t>
  </si>
  <si>
    <t>OP16-23-15 SEP</t>
  </si>
  <si>
    <t>REATA CONFECCION EMPALMADA REF 10MM</t>
  </si>
  <si>
    <t>JESSICA/OSCAR</t>
  </si>
  <si>
    <t>ELASTICO BOSTON 30MM</t>
  </si>
  <si>
    <t>JAQ #17</t>
  </si>
  <si>
    <t>ELASTICO</t>
  </si>
  <si>
    <t xml:space="preserve">JESSICA  </t>
  </si>
  <si>
    <t>TEJEDURIA</t>
  </si>
  <si>
    <t>CINPORTEX</t>
  </si>
  <si>
    <t>JAQ #8</t>
  </si>
  <si>
    <t>JAQ #9</t>
  </si>
  <si>
    <t>OP30 SEP</t>
  </si>
  <si>
    <t>TELAR #8</t>
  </si>
  <si>
    <t>CLAUDIO</t>
  </si>
  <si>
    <t>ACABADOS</t>
  </si>
  <si>
    <t>OP48 SEP</t>
  </si>
  <si>
    <t>REATA CONFECCION ZARGA COLCHON 37MM</t>
  </si>
  <si>
    <t>TELAR #7</t>
  </si>
  <si>
    <t>OP22 SEP</t>
  </si>
  <si>
    <t>TELAR #3</t>
  </si>
  <si>
    <t>SICORPMATTRESS</t>
  </si>
  <si>
    <t>OP34 SEP</t>
  </si>
  <si>
    <t>REATA CONFECCION EMPALMADA 10MM</t>
  </si>
  <si>
    <t>OP37-01 SEP</t>
  </si>
  <si>
    <t>REATA CONFECCION TAFETA GRUESA NYLON 16MM</t>
  </si>
  <si>
    <t>TELAR #14</t>
  </si>
  <si>
    <t>FAME</t>
  </si>
  <si>
    <t>OP26 SEP</t>
  </si>
  <si>
    <t>ELASTICO ZAPATO REFORZADO 80MM</t>
  </si>
  <si>
    <t>TELAR #13</t>
  </si>
  <si>
    <t>GAVILANES OCANA MARIA</t>
  </si>
  <si>
    <t>ELASTICO CONFECCION FAJAS MEDICAS NYLON 30MM</t>
  </si>
  <si>
    <t>JAQ #6</t>
  </si>
  <si>
    <t>GARCIA GONZALES INDIRA</t>
  </si>
  <si>
    <t>ELASTICO CONFECCION FAJAS MEDICAS NYLON JAQ EL 154 30MM</t>
  </si>
  <si>
    <t>OP61 SEP</t>
  </si>
  <si>
    <t>CORDON TELAR TUBULAR JAQ PUNTA TEJIDA</t>
  </si>
  <si>
    <t>CORDON</t>
  </si>
  <si>
    <t>RODRIGUES ALEJANDRA- ZAMORA JULIO</t>
  </si>
  <si>
    <t>CORDON TELAR TUBULAR NYLON JAQ PUNTA TEJIDA</t>
  </si>
  <si>
    <t>ELASTICO CONFECCION BOXER BOSTON 30MM</t>
  </si>
  <si>
    <t>OP55-56 SEP</t>
  </si>
  <si>
    <t>ELASTICO HEBILLERO 10-15MM</t>
  </si>
  <si>
    <t>ELASTICO ZAPATO HEBILLERO 10.-15MM</t>
  </si>
  <si>
    <t>TELAR #9</t>
  </si>
  <si>
    <t>REATA CONFECCION EMPALMADA PES SPUN 15MM</t>
  </si>
  <si>
    <t>REATA CINFECCION EMPALMADA PES SPUN 15MM</t>
  </si>
  <si>
    <t>TELAR #6</t>
  </si>
  <si>
    <t>INJECTSOLE</t>
  </si>
  <si>
    <t>OP10 OCT</t>
  </si>
  <si>
    <t>REATA CONFECCION XARGA COLCHON 38MM</t>
  </si>
  <si>
    <t>OP40-41 SEP</t>
  </si>
  <si>
    <t>REATA ZAPATO TAFERA DELGADA 10MM</t>
  </si>
  <si>
    <t>OP03 OCT</t>
  </si>
  <si>
    <t>REATA ZEBRA POLIESTER 10MM</t>
  </si>
  <si>
    <t>TELAR #2</t>
  </si>
  <si>
    <t>TUSA TUSA TANIA</t>
  </si>
  <si>
    <t>OP54 SEP</t>
  </si>
  <si>
    <t>REATA SANDALIA TUBULAR GRUESA 2 CANALES 4 COL 30MM</t>
  </si>
  <si>
    <t>MONTESINOS MARTHA - IMPOTIZ</t>
  </si>
  <si>
    <t>ELASTICO CONFECCION REFORZADO 40MM</t>
  </si>
  <si>
    <t>TELAR #11</t>
  </si>
  <si>
    <t>JESSICA/CARLOS</t>
  </si>
  <si>
    <t>TEXTIRUTH</t>
  </si>
  <si>
    <t>OP25 AGO</t>
  </si>
  <si>
    <t>ELASTICO CONFECCION BOXER BOSTON</t>
  </si>
  <si>
    <t>JAQ #10</t>
  </si>
  <si>
    <t>JAQ #7</t>
  </si>
  <si>
    <t>ELASTICO CONFECCIO BOXER BOSTON</t>
  </si>
  <si>
    <t>OP04-05 OCT</t>
  </si>
  <si>
    <t>REATA MOCHILA DELGADA 10MM-15MM</t>
  </si>
  <si>
    <t>JOSE-JAVIER</t>
  </si>
  <si>
    <t>CRIOLLO SAILEMA CHRISTIAN</t>
  </si>
  <si>
    <t>OP04 , 05 OCT</t>
  </si>
  <si>
    <t>OP04, 05 OCT</t>
  </si>
  <si>
    <t>REATA MOCHILA DELGADA 10MM 15MM</t>
  </si>
  <si>
    <t>OP51 SEP</t>
  </si>
  <si>
    <t>ELASTICO CONFECCION CROCHET EL 150 200MM</t>
  </si>
  <si>
    <t>TELAR #10</t>
  </si>
  <si>
    <t>ELASTICO CONFECCION CROCHET 20MM</t>
  </si>
  <si>
    <t>OP57 SEP</t>
  </si>
  <si>
    <t>ELASTICO CONFECCION BOXER MARYURI 25MM</t>
  </si>
  <si>
    <t>CHRISTIAN MARYURI</t>
  </si>
  <si>
    <t>JAQ #16</t>
  </si>
  <si>
    <t>OP52 SEP</t>
  </si>
  <si>
    <t>ELASTICO ZAPATO REFORZADO 6MM</t>
  </si>
  <si>
    <t>NUNEZ RAUL-MATUTE ZANDRA</t>
  </si>
  <si>
    <t>OP05, 50 SEP</t>
  </si>
  <si>
    <t>ELASTICO CONFECCION REF 100MM</t>
  </si>
  <si>
    <t>TELAR #12</t>
  </si>
  <si>
    <t>NO VALE EL URDIDO SE HACE MOTAS Y SE URDE DE NUEVO / NO VALEN LOS AUTOMATICOS MAQUINA PARADA</t>
  </si>
  <si>
    <t>OP05-50 SEP</t>
  </si>
  <si>
    <t>TELAR #15</t>
  </si>
  <si>
    <t>SE DEMORO EN URDIR ALMA</t>
  </si>
  <si>
    <t>OP17 OCT</t>
  </si>
  <si>
    <t>REATA SANDALIA COSIDO CENTRAL 25MM</t>
  </si>
  <si>
    <t>IMPORTIZ</t>
  </si>
  <si>
    <t>ELASTICO ZAPATO REFORZADO PES 8MM</t>
  </si>
  <si>
    <t>AMPARO</t>
  </si>
  <si>
    <t>SE MANDA A TINTURAR DESDE 6-10-2026 EN EL DORADO</t>
  </si>
  <si>
    <t>SE CALIBRO NUEVAMENTE</t>
  </si>
  <si>
    <t>OP46 SEP</t>
  </si>
  <si>
    <t>REATA SANDALIA TUBULAR 3 COSIDOS INVISIBLES 20MM</t>
  </si>
  <si>
    <t>SE DEBE VOLVER A PASAR HILOS PORQUE LA REATA NO SALIA BIEN EL TERCER COSIDO, LA MUESTRA ESTABA MAL</t>
  </si>
  <si>
    <t>OP36 SEP</t>
  </si>
  <si>
    <t>REATA CONFECCION EMPALMADA 20MM</t>
  </si>
  <si>
    <t>JOSE/JAVIER</t>
  </si>
  <si>
    <t>OP60 SEP</t>
  </si>
  <si>
    <t>ELASTICO CONFECCION REFORZADO 25MM</t>
  </si>
  <si>
    <t>N. ORDEN</t>
  </si>
  <si>
    <t>CARRETOS</t>
  </si>
  <si>
    <t>METROS</t>
  </si>
  <si>
    <t>COLOR</t>
  </si>
  <si>
    <t>RESPONSABLE</t>
  </si>
  <si>
    <t>ARTICULO</t>
  </si>
  <si>
    <t>DIA</t>
  </si>
  <si>
    <t>BLANCO/CAMOTE/COTTONE</t>
  </si>
  <si>
    <t>JUAN</t>
  </si>
  <si>
    <t>ELASTICO MARYURI</t>
  </si>
  <si>
    <t>SE DEVOLVIO MATERIAL, SE QUEDA MONTADO ALMA DE 2 CANALES PARA ORDEN OP54 SEP</t>
  </si>
  <si>
    <t># CARRETOS</t>
  </si>
  <si>
    <t>TOTAL</t>
  </si>
  <si>
    <t>FECHA</t>
  </si>
  <si>
    <t>DIURNO</t>
  </si>
  <si>
    <t>NOMBRE</t>
  </si>
  <si>
    <t>VELADA</t>
  </si>
  <si>
    <t>NOMBRE-VELADA</t>
  </si>
  <si>
    <t>OP41 SEP</t>
  </si>
  <si>
    <t>VERDE MILITAR</t>
  </si>
  <si>
    <t>BRYAN</t>
  </si>
  <si>
    <t>REATA ZAPATO 10MM</t>
  </si>
  <si>
    <t>SE PASO CONOS DE URD 3 A URD 2 / OP37-01 SEP REATA NYLON 16MM</t>
  </si>
  <si>
    <t>JUAN-BRYAN</t>
  </si>
  <si>
    <t>CRUDO</t>
  </si>
  <si>
    <t>REATA COLCHON 38MM</t>
  </si>
  <si>
    <t>JUAN-BRYAN-ALEXANDER</t>
  </si>
  <si>
    <t>ALEXANDER-BRYAN</t>
  </si>
  <si>
    <t>OP42 SEP</t>
  </si>
  <si>
    <t>REATA DELGADA 15MM</t>
  </si>
  <si>
    <t>OP59 SEP</t>
  </si>
  <si>
    <t>FUCSIA/MENTA LARA</t>
  </si>
  <si>
    <t>SPANDEX BLANCO</t>
  </si>
  <si>
    <t>OP40 SEP</t>
  </si>
  <si>
    <t>PLOMO</t>
  </si>
  <si>
    <t>REATA ZAPATO TAFETEA DELGADA 10MM</t>
  </si>
  <si>
    <t>URD 2 QUEDA MONTADA PARA ORDEN OP05 JUL-COR QUEDA CON METRAJE DE  2800 - AMARILLO QUEDA CON METRAJE DE 9870</t>
  </si>
  <si>
    <t>AMARILLO/ROSADO</t>
  </si>
  <si>
    <t>OP05 JUL-COR</t>
  </si>
  <si>
    <t xml:space="preserve">BLANCO  </t>
  </si>
  <si>
    <t>CORDON LENTO 22H #2</t>
  </si>
  <si>
    <t>OP02 SEP-COR</t>
  </si>
  <si>
    <t xml:space="preserve">FUCSIA  </t>
  </si>
  <si>
    <t>BLANCO</t>
  </si>
  <si>
    <t>ROJO</t>
  </si>
  <si>
    <t xml:space="preserve">AMARILLO  </t>
  </si>
  <si>
    <t>ELASTICO FAJAS MEDICAS 30MM</t>
  </si>
  <si>
    <t>OP56 SEP</t>
  </si>
  <si>
    <t>NEGRO</t>
  </si>
  <si>
    <t>JUAN-VELADA</t>
  </si>
  <si>
    <t>ELASTICO HEBILLERO 15MM</t>
  </si>
  <si>
    <t>OP55 SEP</t>
  </si>
  <si>
    <t>ELASTICO HEBILLERO 10MM</t>
  </si>
  <si>
    <t>AZUL MARINO</t>
  </si>
  <si>
    <t>REATA SANDALIA TUBULAR 3 COCIDOS INVISIBLES 20MM</t>
  </si>
  <si>
    <t>PLOMO MEDIO/NEGRO/CRUDO</t>
  </si>
  <si>
    <t>REATA ZARGA COLCHON 37MM</t>
  </si>
  <si>
    <t>SE ENTREGO CARRETOS, SE DEJA MONTADO URD 1 PARA ALMA</t>
  </si>
  <si>
    <t>ROSADO</t>
  </si>
  <si>
    <t>OP43 SEP</t>
  </si>
  <si>
    <t>LILA</t>
  </si>
  <si>
    <t>REATA SANDALIA 3 COSIDOS INVISIBLES 20MM</t>
  </si>
  <si>
    <t>OP15 AGO</t>
  </si>
  <si>
    <t>AMARILLO</t>
  </si>
  <si>
    <t>CORDON PLANO 88PP</t>
  </si>
  <si>
    <t>VARIOS STRETCH ALMA</t>
  </si>
  <si>
    <t>AZUL ELECTRICO</t>
  </si>
  <si>
    <t>ROJO NYLON</t>
  </si>
  <si>
    <t>VARIOS COLORES</t>
  </si>
  <si>
    <t>BLANCO AZULADO</t>
  </si>
  <si>
    <t>REATA ZEBRA 10MM</t>
  </si>
  <si>
    <t>SE DEMORO LA ORDEN 4 COSIDOS DE ORDEN OP46 SEP POR CAMBIAR CONOS, SE ENTREGO CARRETOS</t>
  </si>
  <si>
    <t>ROSADO CHINO</t>
  </si>
  <si>
    <t>OP04 OCT</t>
  </si>
  <si>
    <t xml:space="preserve">ROSADO  </t>
  </si>
  <si>
    <t>REATA MOCHILA DELGADA 10MM</t>
  </si>
  <si>
    <t>REATA CONFECCION EMPALMADA SPUN 15MM</t>
  </si>
  <si>
    <t xml:space="preserve">MIEL </t>
  </si>
  <si>
    <t>ELASTICO REFORZADO 6MM</t>
  </si>
  <si>
    <t>MELON</t>
  </si>
  <si>
    <t xml:space="preserve"> VINO</t>
  </si>
  <si>
    <t>OP30 OCT</t>
  </si>
  <si>
    <t>NEGRO/AZUL MARINO/ROSADO</t>
  </si>
  <si>
    <t>VARIOS</t>
  </si>
  <si>
    <t xml:space="preserve">ROSADO CHINO </t>
  </si>
  <si>
    <t>OP50 SEP</t>
  </si>
  <si>
    <t xml:space="preserve">NEGRO  </t>
  </si>
  <si>
    <t>ELASTICO CONFECCION EL 149 100MM</t>
  </si>
  <si>
    <t>CAFÉ</t>
  </si>
  <si>
    <t>EL CAFÉ FRNACISCO CAMBIO DE TONO EN LOS PRIMEROS 2000 MTS</t>
  </si>
  <si>
    <t>OP50/05 SEP</t>
  </si>
  <si>
    <t>ELASTICO CONFECCION 100MM</t>
  </si>
  <si>
    <t>SE DEJA MONTADO EN URD #2, ORDEN REATA 2 CANALES 4 COL AZUL MARINO, LA MAQUINA QUEDA PARADA 2 HORAS PORQUE SE MOVIO ESTRUCTURA</t>
  </si>
  <si>
    <t>BIEGE</t>
  </si>
  <si>
    <t>SE MOVIO LA ESTRUCTURA DE LA URDIDORA #4, DEBEN CALIBRAR BIEN</t>
  </si>
  <si>
    <t xml:space="preserve">MUESTRA </t>
  </si>
  <si>
    <t>POLIESTER 75 (NEGRO)</t>
  </si>
  <si>
    <t>ELASTICO DE CALZADO BAILARINA</t>
  </si>
  <si>
    <t>POLIESTER TANGLEADO 150 (NEGRO)</t>
  </si>
  <si>
    <t>BEIGE</t>
  </si>
  <si>
    <t>ALMA</t>
  </si>
  <si>
    <t>OP06 SEP</t>
  </si>
  <si>
    <t>ELASTICO CONFECCCION REFORZADO 25MM</t>
  </si>
  <si>
    <t>OP05 OCT</t>
  </si>
  <si>
    <t>RETA TAFETA DELGADA 15MM</t>
  </si>
  <si>
    <t>MELANGE CLARO</t>
  </si>
  <si>
    <t>BOSTON</t>
  </si>
  <si>
    <t>AMARILLO BAJO 699</t>
  </si>
  <si>
    <t xml:space="preserve">CELESTE </t>
  </si>
  <si>
    <t>AMARILLO BAJO 699/VINO</t>
  </si>
  <si>
    <t>CELESTE/GRIS PERLA</t>
  </si>
  <si>
    <t>OP03 SEP</t>
  </si>
  <si>
    <t>FUCSIA</t>
  </si>
  <si>
    <t>SE DEJA MONTADO LA ORDEN OP02 OCT (PLANO 160 STRETCH) EN URD #2</t>
  </si>
  <si>
    <t xml:space="preserve">JUAN  </t>
  </si>
  <si>
    <t>SE DEJA MONTADO LA ORDEN OP21 OCT (REATA CONFECCION SESGO 20MM) EN URD #3</t>
  </si>
  <si>
    <t>NEGRO 047</t>
  </si>
  <si>
    <t>ALEXANDER-VELADA</t>
  </si>
  <si>
    <t>REATA SANDALIA EMPALMADA COSIDO CENTRAL 25MM</t>
  </si>
  <si>
    <t>BLANCO SF006</t>
  </si>
  <si>
    <t>OP21 OCT</t>
  </si>
  <si>
    <t>REATA CONFECCION SESGO PES 20MM</t>
  </si>
  <si>
    <t>OP02 OCT</t>
  </si>
  <si>
    <t xml:space="preserve">NEGRO </t>
  </si>
  <si>
    <t>CORDON PLANO 160PP STRETCH 8MM</t>
  </si>
  <si>
    <t>OP23 OCT</t>
  </si>
  <si>
    <t>EN VELADA SE REALIZARON 21 CARRETOS DE LOS CUALES SE COMPLETARON 2 ORDENES OP21 OCT (REATA CONFECCION SESGO 20MM) Y OP02 OCT (CORDON PLANO 160PP STRETCH 8MM)</t>
  </si>
  <si>
    <t>REATA CINTURON KOREANA 52MM</t>
  </si>
  <si>
    <t>OP37-02 SEP</t>
  </si>
  <si>
    <t>SE DEJA MONTADO ORDEN OP24 SEP (ELASTICO FAJAS MEDICAS 25MM) EN URD #3</t>
  </si>
  <si>
    <t>SE DEJA MONTADO ORDEN OP01 OCT COLOR NEGRO/BLANCO/ROJO EN URD #2/ADICIONAL SE DEJA URDIENDO ALMA 1366MTS, FALTA COMPLETAR METRAJE DE ORDEN OP54 SEP ( REATA SANDALIA 2 CANALES)</t>
  </si>
  <si>
    <t>OP01 OCT</t>
  </si>
  <si>
    <t>REATA SANDALIA TUBULAR C/A PES LUREX 25MM</t>
  </si>
  <si>
    <t>LUREX PLATEADO</t>
  </si>
  <si>
    <t>OP28-01 SEP</t>
  </si>
  <si>
    <t>ELASTICO CONFECCION SESGO JAQ PES 10MM</t>
  </si>
  <si>
    <t>SPANDEX NEGRO</t>
  </si>
  <si>
    <t>AZUL MARINO/BLANCO/ROJO</t>
  </si>
  <si>
    <t>NEGRO/BLANCO/ROJO</t>
  </si>
  <si>
    <t>OP39 SEP</t>
  </si>
  <si>
    <t>ROSADO/BLANCO</t>
  </si>
  <si>
    <t>EN LA VELADA SE ISIERON 15 CARRETOS DE LO CUALES NO SE COMPLETO NINGUNA ORDEN, ADEMAS NO SE ALCANZO EL MINIMO DE 20 CARRETOS YA QUE SE REALIZARON 8 CAMBIOS DE MAQUINA, ADICIONAL EL HILO CRUDO  NYLON 70/2 ESTABA MAL PUESTO EL PUNTO DE AIRE Y SE CAMBIO LA MONTADA PARA OTRA ORDEN</t>
  </si>
  <si>
    <t>CAFÉ/BLANCO/HABANO</t>
  </si>
  <si>
    <t>NEGRO CERRAR TEJIDO</t>
  </si>
  <si>
    <t>VARIOS ALMA</t>
  </si>
  <si>
    <t>QUEDA MONTADO LA ORDEN OP36 SEP (REATA EMPALMADA 20MM) EN URD #3 / QUEDA MONTADO ALMA ORDEN OP17 OCT (REATA SANDALIA EMPALMADA COSIDO CENTRAL 25MM)</t>
  </si>
  <si>
    <t>OP25 OCT</t>
  </si>
  <si>
    <t>AZUL MARINO/NEGRO</t>
  </si>
  <si>
    <t xml:space="preserve">AZUL MARINO/BLANCO  </t>
  </si>
  <si>
    <t>TOMATE/PLATA</t>
  </si>
  <si>
    <t>OP26 OCT</t>
  </si>
  <si>
    <t>NEGRO/CAFÉ</t>
  </si>
  <si>
    <t>EN VELADA SE ISIERON 20 CARRETOS, DE LOS CUALES SE ENTREGARON 3 ORDENES TERMINADAS OP36 SEP (REATA CONFECCION EMPALMADA 20MM) - OP17 OCT (REATA SANDALIA EMPALMADA COSIDO CENTRAL 25MM) - OP01 OCT (REATA SANDALIA TUBULAR C/A PES LUREX 25MM)  / LA ORDEN OP01 OCT ENTRA EN MAQ CON LA ORDEN OP26 OCT PERO LA ORDEN OP26 OCT NO ESTA TERMINADA</t>
  </si>
  <si>
    <t>MUESTRA</t>
  </si>
  <si>
    <t>AMARILLO BAJO STRETCH AGUA</t>
  </si>
  <si>
    <t>ELASTICO BOXER 30MM</t>
  </si>
  <si>
    <t>PONIENDO PUNTO DE AIRE ORDEN OP24 SEP (ELASTICO CONFECCCION FAJAS MEDICAS) ADICIONAL SE DEJA MONTADO LA MISMA ORDEN EN URD #3</t>
  </si>
  <si>
    <t>AMARILLO BAJO STRETCH AGUA/VINO</t>
  </si>
  <si>
    <t>BLANCO OPTICO</t>
  </si>
  <si>
    <t>BLANCO FDY</t>
  </si>
  <si>
    <t>OP09 OCT</t>
  </si>
  <si>
    <t>ELASTICO ZAPATO REFORZADO 40MM</t>
  </si>
  <si>
    <t>EN REBOBINADORA PARA ORDEN OP28-01 SEP ROJO (ELASTICO CONFECCION SESGO JAQ 10MM)</t>
  </si>
  <si>
    <t>EN EL DIA SE ENTREGAN ORDENES TERMINADAS: OP43 SEP (REATA ZAPATO TAFETA DELGADA 10MM), OP39 SEP (REATA ZAPATO TAFETA DELGADA 10MM), OP09 OCT (ELASTICO ZAPATO REFORZADO 40MM)</t>
  </si>
  <si>
    <t>OP24 SEP</t>
  </si>
  <si>
    <t>ELASTICO CONFECCION FAJAS MEDICAS 25MM</t>
  </si>
  <si>
    <t>OP23  OCT</t>
  </si>
  <si>
    <t>OP22 OCT</t>
  </si>
  <si>
    <t>PERLA</t>
  </si>
  <si>
    <t>VERDE LIMON</t>
  </si>
  <si>
    <t>ELASTICO ZAPATO REFORZADO 60MM</t>
  </si>
  <si>
    <t>EN VELADA SE ISO UN TOTAL DE 21 CARRETOS DE LOS CUALES SE ENTREGARON 2 ORDENES COMPLETAR: OP30 OCT (ELASTICO ZAPATO REFORZADO 60MM), OP23 OCT (CORDON PLANO 88PP), LA ORDEN OP30 OCT ENTRA CON OTRA ORDEN QUE AUN NO SE ACABA DE URDIR Y ES OP08 OCT (ELASTICO ZAPATO REFORZADO 50MM)</t>
  </si>
  <si>
    <t>PLATEADO</t>
  </si>
  <si>
    <t>REATA SANDALIA FRANJA CENTRAL LUREX 25MM</t>
  </si>
  <si>
    <t>SE DEJA MONTADO ORDEN OP28-01 SEP (ELASTICO CONFECCION SESGO 10MM) CERRAR TEJIDO EN URD #4</t>
  </si>
  <si>
    <t xml:space="preserve">SE REBOBINA ORDEN OP08 OCT (ELASTICO ZAPATO REFORZADO 50MM) </t>
  </si>
  <si>
    <t>EN URD #3 SE DEJA MONTADO ORDEN OP58 SEP (ELASTICO CONFECCION BOXER MARYURI)</t>
  </si>
  <si>
    <t>BLANCO/ROJO</t>
  </si>
  <si>
    <t>SE ENTREGO CARRETOS Y BRYAN ESTUVO EN PLANCHA</t>
  </si>
  <si>
    <t>PLATA</t>
  </si>
  <si>
    <t>EN EL DIA SE ISO UN TOTAL DE 8 CARRETOS DE LOS CUALES SE ENTREGARON 2  ORDEN TERMINADA: OP15 AGO (CORDON PLANO 88PP) , OP25 OCT (REATA SANDALIA FRANJA CENTRAL LUREX 25MM) PERO ESTA ORDEN OP25 OCT ENTRA EN MAQUINA CON ORDEN OP01 OCT( REATA SANDALIA TUBULAR LUREX 25MM) LA CUAL NO ESTA TERMINADA</t>
  </si>
  <si>
    <t>NEGRO/BLANCO SPANDEX</t>
  </si>
  <si>
    <t>NEGRO SPANDEX</t>
  </si>
  <si>
    <t>BLANCO SPANDEX</t>
  </si>
  <si>
    <t>OP31 OCT</t>
  </si>
  <si>
    <t>ELASTICO CONFECCION BOXER ALTO RELIEVE JAQ EL156 (COLORFULL)</t>
  </si>
  <si>
    <t>OP03 OCT-COR</t>
  </si>
  <si>
    <t>VERDE FOSFORO</t>
  </si>
  <si>
    <t>OP08 OCT</t>
  </si>
  <si>
    <t>ELASTICO ZAPATO REFORZADO 50MM</t>
  </si>
  <si>
    <t>OP58 SEP</t>
  </si>
  <si>
    <t>CRUDO/CORAL LARA</t>
  </si>
  <si>
    <t>ELASTICO CONFECCION BOXER MARYURI</t>
  </si>
  <si>
    <t>EL MATERIAL DIO PROBLEMAS</t>
  </si>
  <si>
    <t>EN LA VELADA SE REALIZARON UN TOTAL DE 18 CARRETOS DE LOS CUALES DE TERMINARON 4 ORDENES: OP28-01 SEP (ELASTICO CONFECCION SESGO JAQ PES 10MM), OP08 OCT (ELASTICO ZAPATO REFORZADO 50MM), OP15 AGO (CORDON PLANO 88PP), OP22 OCT (CORDON PLANO 88PP)</t>
  </si>
  <si>
    <t>REATA CONFECCION SESGO 20MM</t>
  </si>
  <si>
    <t>LA ORDEN OP01 OCT ENTRA EN MAQ CON LA ORDEN OP26 OCT PERO LA ORDEN OP26 OCT NO ESTA TERMINADA</t>
  </si>
  <si>
    <t>NO HAY ORDENES TERMINADAS</t>
  </si>
  <si>
    <t>LA ORDEN OP30 OCT ENTRA CON OTRA ORDEN QUE AUN NO SE ACABA DE URDIR Y ES OP08 OCT (ELASTICO ZAPATO REFORZADO 50MM)</t>
  </si>
  <si>
    <t>PERO LA ORDEN OP25 OCT ENTRA EN MAQUINA CON ORDEN OP01 OCT( REATA SANDALIA TUBULAR LUREX 25MM) LA CUAL NO ESTA TERMINADA</t>
  </si>
  <si>
    <t>TURNO</t>
  </si>
  <si>
    <t>ORDEN</t>
  </si>
  <si>
    <t>TINTURA</t>
  </si>
  <si>
    <t>OP15-16-23 SEP</t>
  </si>
  <si>
    <t>ELASTICO HEBILLERO 8-10-12 MM</t>
  </si>
  <si>
    <t>ELASTICO CONFECCION FAJAS MEDICAS NYLON 25MM</t>
  </si>
  <si>
    <t>PAUCAR FABRICIO</t>
  </si>
  <si>
    <t>OP19-20 OCT</t>
  </si>
  <si>
    <t>TELAR 6</t>
  </si>
  <si>
    <t>CARRION WILSON</t>
  </si>
  <si>
    <t>REATA SANDALIA LUREX RT769 25MM</t>
  </si>
  <si>
    <t>TELAR #5</t>
  </si>
  <si>
    <t xml:space="preserve">MONTESINOS MARTHA   </t>
  </si>
  <si>
    <t>OP43-39 SEP</t>
  </si>
  <si>
    <t>REATA ZAAPATO 10MM</t>
  </si>
  <si>
    <t>JESSICA/CLAUDIO</t>
  </si>
  <si>
    <t>NUÑEZ RAUL</t>
  </si>
  <si>
    <t>OP08-30 OCT</t>
  </si>
  <si>
    <t>ELASTICO ZAPATO 60-50 MM</t>
  </si>
  <si>
    <t>CAL BRACION</t>
  </si>
  <si>
    <t>NORIEGA IRENE</t>
  </si>
  <si>
    <t>OP16 OCT</t>
  </si>
  <si>
    <t>ROSADO/FUCSIA/PLOMO</t>
  </si>
  <si>
    <t>REATA KOREANA 25MM MUESTRA</t>
  </si>
  <si>
    <t>REATA ZAPATO TAFETA DELGADA 15MM</t>
  </si>
  <si>
    <t>SE DEJA MONTADO SPANDEX EN URD 4</t>
  </si>
  <si>
    <t>BRYAN PASO EN PUNTO DE AIRE CON EL COLOR HABANO 300 (SANDALIA LURES 25MM)( Y REBOBINANDO AMARILLO PP900 PARA ZAPATO 10MM Y 15MM Y BLANCO AZULADO 150 20/11 PARA ELASTICO ALTO RELIEVE 40MM</t>
  </si>
  <si>
    <t>OP34 OCT</t>
  </si>
  <si>
    <t>OP38 OCT</t>
  </si>
  <si>
    <t>OP15 OCT</t>
  </si>
  <si>
    <t>REATA MOCHILA 15MM</t>
  </si>
  <si>
    <t>REATA KOREANA 25MM</t>
  </si>
  <si>
    <t>OP06 OCT</t>
  </si>
  <si>
    <t>OP36 OCT</t>
  </si>
  <si>
    <t>OP27 OCT</t>
  </si>
  <si>
    <t>CAFE/HABANO/MIEL</t>
  </si>
  <si>
    <t>ROJO/BLANCO/AZUL MARINO</t>
  </si>
  <si>
    <t>VERDE PERICO</t>
  </si>
  <si>
    <t xml:space="preserve">ALEXANDER  </t>
  </si>
  <si>
    <t>REATA SANDALIA LIREX 25MM</t>
  </si>
  <si>
    <t>REATA SANDALIA TUBULAR 25MM</t>
  </si>
  <si>
    <t>OP19 OCT</t>
  </si>
  <si>
    <t>OP20 OCT</t>
  </si>
  <si>
    <t xml:space="preserve">CAFÉ  </t>
  </si>
  <si>
    <t>BLANCO NYLON SPANDEX</t>
  </si>
  <si>
    <t>PLOMO OSCURO</t>
  </si>
  <si>
    <t>LOS CONOS DEL HILO SON MUY PEQUEÑOS, SE DEBE ESTAR CAMBIANDO A CADA RATO</t>
  </si>
  <si>
    <t>OP14 OCT</t>
  </si>
  <si>
    <t>NEGRO/BLANCO</t>
  </si>
  <si>
    <t>OP60 OCT</t>
  </si>
  <si>
    <t>OP28OCT</t>
  </si>
  <si>
    <t>OP07 OCT</t>
  </si>
  <si>
    <t>CROWN PALACE/AGUAMARINA/BLANCO HIELO</t>
  </si>
  <si>
    <t>CROWN PALACE/BLANCO HIELO/LILA LARA</t>
  </si>
  <si>
    <t>METALIZADO</t>
  </si>
  <si>
    <t>DORADO</t>
  </si>
  <si>
    <t xml:space="preserve">PLOMO  </t>
  </si>
  <si>
    <t>REATA SANDALIA FRANJA CENTRAL 25MM</t>
  </si>
  <si>
    <t>REATA MOCHILA TAFETA DELGADA 15MM</t>
  </si>
  <si>
    <t>REATA SANDALIA LUREX FRNAJA CENTRAL 25MM</t>
  </si>
  <si>
    <t>ELASTICO ZAPATO REFORZADO 70MM</t>
  </si>
  <si>
    <t>REATA ZAPATO TAFETA DELAGA 10MM</t>
  </si>
  <si>
    <t>FALTA URDIR ORDENES PARA COMPLETAR JUEGO</t>
  </si>
  <si>
    <t>OP33 OCT</t>
  </si>
  <si>
    <t>BLANCO/CRUDO/CORAL LARA</t>
  </si>
  <si>
    <t>BLANCO/FUCSIA #1</t>
  </si>
  <si>
    <t>MENTA LARA</t>
  </si>
  <si>
    <t>OP40 OCT</t>
  </si>
  <si>
    <t>OP18 OCT</t>
  </si>
  <si>
    <t>CRUDO NYLON</t>
  </si>
  <si>
    <t>NEGRO M91-0</t>
  </si>
  <si>
    <t>BLANCO/NEGRO</t>
  </si>
  <si>
    <t>ELASTICO CONFECCION FAJAS MEDICAS 30MM</t>
  </si>
  <si>
    <t>ELASTICO CONFECCION FAJAS MEDICAS 30MM TINTURA FELPA REVERSO</t>
  </si>
  <si>
    <t>CORDON TELAR NYLON PUNTA TEJIDA</t>
  </si>
  <si>
    <t>OP28 OCT</t>
  </si>
  <si>
    <t>HABANO/BLANCO/CAFÉ</t>
  </si>
  <si>
    <t>NEGRO/BLANCO/PLOMO</t>
  </si>
  <si>
    <t>BOXER EMBOUSSING</t>
  </si>
  <si>
    <t>REATA SANDALIA LUREX 25MM</t>
  </si>
  <si>
    <t>SE DEJA MONTADO ORDEN 28 OCT EN URD 2/ SE DESCARGA CONTENEDOR HASTA MEDIO DIA Y SE MOVIO LA URD NUEVA</t>
  </si>
  <si>
    <t>SE MOVIO LA URD NUEVA</t>
  </si>
  <si>
    <t>AMARILLO TEXTON/MORADO</t>
  </si>
  <si>
    <t>NEGRO SILVESTRE/FUCSIA NEON</t>
  </si>
  <si>
    <t>NEGRO/PLOMO/NEGRO</t>
  </si>
  <si>
    <t>SE CAMBIAN BOBINAS PEQUEÑAS 20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</si>
</sst>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entury Gothic"/>
      <family val="2"/>
    </font>
    <font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9" fontId="2" fillId="7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/>
    </xf>
    <xf numFmtId="14" fontId="7" fillId="15" borderId="1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14" fontId="7" fillId="16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14" fontId="7" fillId="17" borderId="1" xfId="0" applyNumberFormat="1" applyFont="1" applyFill="1" applyBorder="1"/>
    <xf numFmtId="0" fontId="7" fillId="17" borderId="1" xfId="0" applyFont="1" applyFill="1" applyBorder="1" applyAlignment="1">
      <alignment horizontal="center" vertical="center"/>
    </xf>
    <xf numFmtId="14" fontId="7" fillId="18" borderId="1" xfId="0" applyNumberFormat="1" applyFont="1" applyFill="1" applyBorder="1"/>
    <xf numFmtId="0" fontId="7" fillId="1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2" applyFill="1" applyBorder="1"/>
    <xf numFmtId="14" fontId="0" fillId="0" borderId="1" xfId="0" applyNumberFormat="1" applyBorder="1"/>
    <xf numFmtId="0" fontId="8" fillId="0" borderId="1" xfId="2" applyBorder="1"/>
    <xf numFmtId="0" fontId="10" fillId="20" borderId="1" xfId="0" applyFont="1" applyFill="1" applyBorder="1" applyAlignment="1">
      <alignment horizontal="center" vertical="center"/>
    </xf>
    <xf numFmtId="0" fontId="8" fillId="0" borderId="1" xfId="2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2" applyBorder="1" applyAlignment="1">
      <alignment horizontal="left" vertical="center"/>
    </xf>
    <xf numFmtId="16" fontId="8" fillId="0" borderId="1" xfId="2" applyNumberFormat="1" applyBorder="1" applyAlignment="1">
      <alignment horizontal="left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4" borderId="0" xfId="0" applyFill="1"/>
    <xf numFmtId="0" fontId="0" fillId="0" borderId="1" xfId="0" applyBorder="1" applyAlignment="1">
      <alignment horizontal="center" vertical="center"/>
    </xf>
    <xf numFmtId="0" fontId="8" fillId="14" borderId="1" xfId="2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8" fillId="14" borderId="1" xfId="2" applyFill="1" applyBorder="1"/>
    <xf numFmtId="0" fontId="0" fillId="0" borderId="1" xfId="0" applyFill="1" applyBorder="1"/>
    <xf numFmtId="16" fontId="8" fillId="14" borderId="1" xfId="2" applyNumberFormat="1" applyFill="1" applyBorder="1" applyAlignment="1">
      <alignment horizontal="left" vertical="center"/>
    </xf>
    <xf numFmtId="0" fontId="0" fillId="14" borderId="1" xfId="0" applyFill="1" applyBorder="1"/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/>
    </xf>
    <xf numFmtId="0" fontId="0" fillId="21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14" borderId="7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4" xfId="0" applyBorder="1"/>
    <xf numFmtId="0" fontId="0" fillId="14" borderId="7" xfId="0" applyFill="1" applyBorder="1"/>
    <xf numFmtId="12" fontId="0" fillId="0" borderId="1" xfId="0" applyNumberFormat="1" applyBorder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0" fillId="0" borderId="0" xfId="0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5" xfId="0" applyFont="1" applyBorder="1" applyAlignment="1">
      <alignment wrapText="1"/>
    </xf>
    <xf numFmtId="14" fontId="0" fillId="0" borderId="21" xfId="0" applyNumberFormat="1" applyBorder="1" applyAlignment="1">
      <alignment horizontal="center" vertical="center"/>
    </xf>
    <xf numFmtId="0" fontId="8" fillId="0" borderId="0" xfId="2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3" xfId="0" applyFill="1" applyBorder="1"/>
    <xf numFmtId="0" fontId="7" fillId="0" borderId="23" xfId="0" applyFont="1" applyFill="1" applyBorder="1"/>
    <xf numFmtId="0" fontId="0" fillId="0" borderId="0" xfId="0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9" xfId="0" applyBorder="1"/>
    <xf numFmtId="0" fontId="0" fillId="0" borderId="6" xfId="0" applyBorder="1"/>
    <xf numFmtId="0" fontId="0" fillId="0" borderId="5" xfId="0" applyBorder="1"/>
    <xf numFmtId="0" fontId="0" fillId="0" borderId="26" xfId="0" applyBorder="1" applyAlignment="1">
      <alignment horizontal="left"/>
    </xf>
    <xf numFmtId="0" fontId="0" fillId="0" borderId="20" xfId="0" applyBorder="1"/>
    <xf numFmtId="0" fontId="10" fillId="0" borderId="5" xfId="0" applyFont="1" applyBorder="1" applyAlignment="1">
      <alignment vertical="center"/>
    </xf>
    <xf numFmtId="14" fontId="14" fillId="0" borderId="5" xfId="0" applyNumberFormat="1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9" fillId="19" borderId="2" xfId="0" applyFont="1" applyFill="1" applyBorder="1" applyAlignment="1">
      <alignment horizontal="left"/>
    </xf>
    <xf numFmtId="0" fontId="9" fillId="19" borderId="3" xfId="0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14" fontId="0" fillId="14" borderId="2" xfId="0" applyNumberForma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14" fontId="0" fillId="14" borderId="3" xfId="0" applyNumberFormat="1" applyFill="1" applyBorder="1" applyAlignment="1">
      <alignment horizontal="center"/>
    </xf>
    <xf numFmtId="14" fontId="0" fillId="14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2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'!$C$1:$J$1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'!$C$57:$J$57</c:f>
              <c:numCache>
                <c:formatCode>General</c:formatCode>
                <c:ptCount val="8"/>
                <c:pt idx="0">
                  <c:v>63.5</c:v>
                </c:pt>
                <c:pt idx="1">
                  <c:v>79.5</c:v>
                </c:pt>
                <c:pt idx="2">
                  <c:v>0</c:v>
                </c:pt>
                <c:pt idx="3">
                  <c:v>49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6-4A7B-8597-B6CD12536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57</xdr:row>
      <xdr:rowOff>139065</xdr:rowOff>
    </xdr:from>
    <xdr:to>
      <xdr:col>10</xdr:col>
      <xdr:colOff>0</xdr:colOff>
      <xdr:row>70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DAF98-A17D-430D-8C76-49D19C8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JAQ6.xlsx" TargetMode="External"/><Relationship Id="rId13" Type="http://schemas.openxmlformats.org/officeDocument/2006/relationships/hyperlink" Target="..\TELARES%20Y%20JAQ\KY17.xlsx" TargetMode="External"/><Relationship Id="rId18" Type="http://schemas.openxmlformats.org/officeDocument/2006/relationships/hyperlink" Target="..\TELARES%20Y%20JAQ\JAQ16.xlsx" TargetMode="External"/><Relationship Id="rId3" Type="http://schemas.openxmlformats.org/officeDocument/2006/relationships/hyperlink" Target="..\TELARES%20Y%20JAQ\JAQ8.xlsx" TargetMode="External"/><Relationship Id="rId21" Type="http://schemas.openxmlformats.org/officeDocument/2006/relationships/hyperlink" Target="..\TELARES%20Y%20JAQ\KY15.xlsx" TargetMode="External"/><Relationship Id="rId7" Type="http://schemas.openxmlformats.org/officeDocument/2006/relationships/hyperlink" Target="..\TELARES%20Y%20JAQ\KY13.xlsx" TargetMode="External"/><Relationship Id="rId12" Type="http://schemas.openxmlformats.org/officeDocument/2006/relationships/hyperlink" Target="..\TELARES%20Y%20JAQ\KY19.xlsx" TargetMode="External"/><Relationship Id="rId17" Type="http://schemas.openxmlformats.org/officeDocument/2006/relationships/hyperlink" Target="..\TELARES%20Y%20JAQ\KY10.xlsx" TargetMode="External"/><Relationship Id="rId2" Type="http://schemas.openxmlformats.org/officeDocument/2006/relationships/hyperlink" Target="..\TELARES%20Y%20JAQ\KY19.xlsx" TargetMode="External"/><Relationship Id="rId16" Type="http://schemas.openxmlformats.org/officeDocument/2006/relationships/hyperlink" Target="..\TELARES%20Y%20JAQ\JAQ10.xlsx" TargetMode="External"/><Relationship Id="rId20" Type="http://schemas.openxmlformats.org/officeDocument/2006/relationships/hyperlink" Target="..\TELARES%20Y%20JAQ\KY12.xlsx" TargetMode="External"/><Relationship Id="rId1" Type="http://schemas.openxmlformats.org/officeDocument/2006/relationships/hyperlink" Target="..\TELARES%20Y%20JAQ\KY17.xlsx" TargetMode="External"/><Relationship Id="rId6" Type="http://schemas.openxmlformats.org/officeDocument/2006/relationships/hyperlink" Target="..\TELARES%20Y%20JAQ\KY14.xlsx" TargetMode="External"/><Relationship Id="rId11" Type="http://schemas.openxmlformats.org/officeDocument/2006/relationships/hyperlink" Target="..\TELARES%20Y%20JAQ\KY6.xlsx" TargetMode="External"/><Relationship Id="rId5" Type="http://schemas.openxmlformats.org/officeDocument/2006/relationships/hyperlink" Target="..\TELARES%20Y%20JAQ\KY7.xlsx" TargetMode="External"/><Relationship Id="rId15" Type="http://schemas.openxmlformats.org/officeDocument/2006/relationships/hyperlink" Target="..\TELARES%20Y%20JAQ\JAQ8.xlsx" TargetMode="External"/><Relationship Id="rId10" Type="http://schemas.openxmlformats.org/officeDocument/2006/relationships/hyperlink" Target="..\TELARES%20Y%20JAQ\JAQ9.xlsx" TargetMode="External"/><Relationship Id="rId19" Type="http://schemas.openxmlformats.org/officeDocument/2006/relationships/hyperlink" Target="..\TELARES%20Y%20JAQ\KY8.xlsx" TargetMode="External"/><Relationship Id="rId4" Type="http://schemas.openxmlformats.org/officeDocument/2006/relationships/hyperlink" Target="..\TELARES%20Y%20JAQ\JAQ17.xlsx" TargetMode="External"/><Relationship Id="rId9" Type="http://schemas.openxmlformats.org/officeDocument/2006/relationships/hyperlink" Target="..\TELARES%20Y%20JAQ\JAQ9.xlsx" TargetMode="External"/><Relationship Id="rId14" Type="http://schemas.openxmlformats.org/officeDocument/2006/relationships/hyperlink" Target="..\TELARES%20Y%20JAQ\KY6.xlsx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90-E25B-47CC-A1ED-22A0FDF05D86}">
  <sheetPr codeName="Hoja1"/>
  <dimension ref="A1:AI41"/>
  <sheetViews>
    <sheetView zoomScale="57" zoomScaleNormal="57" workbookViewId="0">
      <pane ySplit="1" topLeftCell="A14" activePane="bottomLeft" state="frozen"/>
      <selection pane="bottomLeft" activeCell="A35" sqref="A35:B35"/>
    </sheetView>
  </sheetViews>
  <sheetFormatPr baseColWidth="10" defaultColWidth="10.6640625" defaultRowHeight="14.4" x14ac:dyDescent="0.3"/>
  <cols>
    <col min="1" max="1" width="13.5546875" customWidth="1"/>
    <col min="2" max="2" width="49.5546875" customWidth="1"/>
    <col min="3" max="3" width="13.44140625" customWidth="1"/>
    <col min="4" max="13" width="10.6640625" customWidth="1"/>
    <col min="14" max="14" width="12" style="40" customWidth="1"/>
    <col min="15" max="15" width="12.5546875" style="40" customWidth="1"/>
    <col min="16" max="17" width="13.33203125" style="40" customWidth="1"/>
    <col min="18" max="18" width="10.6640625" customWidth="1"/>
    <col min="19" max="19" width="12.6640625" customWidth="1"/>
    <col min="20" max="20" width="10.6640625" customWidth="1"/>
    <col min="21" max="21" width="13.33203125" customWidth="1"/>
    <col min="22" max="22" width="10.6640625" customWidth="1"/>
    <col min="23" max="23" width="14.109375" customWidth="1"/>
    <col min="24" max="26" width="10.6640625" customWidth="1"/>
    <col min="27" max="27" width="15.6640625" customWidth="1"/>
    <col min="28" max="28" width="14.44140625" customWidth="1"/>
    <col min="34" max="34" width="14.44140625" customWidth="1"/>
    <col min="35" max="35" width="26.6640625" customWidth="1"/>
  </cols>
  <sheetData>
    <row r="1" spans="1:35" s="26" customFormat="1" ht="91.5" customHeight="1" x14ac:dyDescent="0.25">
      <c r="A1" s="1" t="s">
        <v>34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2" t="s">
        <v>16</v>
      </c>
      <c r="S1" s="13" t="s">
        <v>17</v>
      </c>
      <c r="T1" s="14" t="s">
        <v>16</v>
      </c>
      <c r="U1" s="15" t="s">
        <v>18</v>
      </c>
      <c r="V1" s="16" t="s">
        <v>16</v>
      </c>
      <c r="W1" s="17" t="s">
        <v>19</v>
      </c>
      <c r="X1" s="17" t="s">
        <v>16</v>
      </c>
      <c r="Y1" s="18" t="s">
        <v>20</v>
      </c>
      <c r="Z1" s="1" t="s">
        <v>21</v>
      </c>
      <c r="AA1" s="41" t="s">
        <v>22</v>
      </c>
      <c r="AB1" s="19" t="s">
        <v>23</v>
      </c>
      <c r="AC1" s="20" t="s">
        <v>24</v>
      </c>
      <c r="AD1" s="21" t="s">
        <v>25</v>
      </c>
      <c r="AE1" s="22" t="s">
        <v>26</v>
      </c>
      <c r="AF1" s="23" t="s">
        <v>27</v>
      </c>
      <c r="AG1" s="23" t="s">
        <v>28</v>
      </c>
      <c r="AH1" s="24" t="s">
        <v>29</v>
      </c>
      <c r="AI1" s="25" t="s">
        <v>30</v>
      </c>
    </row>
    <row r="2" spans="1:35" x14ac:dyDescent="0.3">
      <c r="A2" s="43" t="s">
        <v>43</v>
      </c>
      <c r="B2" s="42" t="s">
        <v>44</v>
      </c>
      <c r="C2" s="42" t="s">
        <v>37</v>
      </c>
      <c r="D2" s="42" t="s">
        <v>31</v>
      </c>
      <c r="E2" s="42" t="s">
        <v>33</v>
      </c>
      <c r="F2" s="42">
        <v>6000</v>
      </c>
      <c r="G2" s="42">
        <v>5469</v>
      </c>
      <c r="H2" s="42">
        <v>5300</v>
      </c>
      <c r="I2" s="42"/>
      <c r="J2" s="42">
        <v>517</v>
      </c>
      <c r="K2" s="42">
        <v>1.55</v>
      </c>
      <c r="L2" s="29">
        <f t="shared" ref="L2:L41" si="0">+J2/G2</f>
        <v>9.4532821356737975E-2</v>
      </c>
      <c r="M2" s="30">
        <v>0.62</v>
      </c>
      <c r="N2" s="44">
        <v>46276</v>
      </c>
      <c r="O2" s="44">
        <v>46276</v>
      </c>
      <c r="P2" s="44">
        <v>46296</v>
      </c>
      <c r="Q2" s="31">
        <v>46294</v>
      </c>
      <c r="R2" s="32">
        <f t="shared" ref="R2:R41" si="1">IF(Q2="","",NETWORKDAYS(N2,Q2))</f>
        <v>13</v>
      </c>
      <c r="S2" s="33">
        <v>46296</v>
      </c>
      <c r="T2" s="34">
        <f t="shared" ref="T2:T41" si="2">IF(S2="","",NETWORKDAYS(Q2,S2))</f>
        <v>3</v>
      </c>
      <c r="U2" s="35">
        <v>46301</v>
      </c>
      <c r="V2" s="36">
        <f t="shared" ref="V2:V41" si="3">IF(U2="","",NETWORKDAYS(S2,U2))</f>
        <v>4</v>
      </c>
      <c r="W2" s="37"/>
      <c r="X2" s="38" t="str">
        <f t="shared" ref="X2:X7" si="4">IF(W2="","",NETWORKDAYS(U2,W2))</f>
        <v/>
      </c>
      <c r="Y2" s="38" t="str">
        <f t="shared" ref="Y2:Y41" si="5">IF(W2="","",NETWORKDAYS(N2,W2))</f>
        <v/>
      </c>
      <c r="Z2" s="28" t="str">
        <f t="shared" ref="Z2:Z36" si="6">IF(Y2="","",IF(Y2&lt;=20,"EFICIENTE","NO EFICIENTE"))</f>
        <v/>
      </c>
      <c r="AA2" s="27" t="s">
        <v>38</v>
      </c>
      <c r="AB2" s="42" t="s">
        <v>53</v>
      </c>
      <c r="AC2" s="42">
        <v>89.76</v>
      </c>
      <c r="AD2" s="42">
        <v>6</v>
      </c>
      <c r="AE2" s="42">
        <v>24</v>
      </c>
      <c r="AF2" s="27">
        <f t="shared" ref="AF2:AF7" si="7">ROUNDUP((F2*1/(AC2*AD2*M2*AE2)),0)</f>
        <v>1</v>
      </c>
      <c r="AG2" s="42">
        <f>20/24</f>
        <v>0.83333333333333337</v>
      </c>
      <c r="AH2" s="39">
        <f t="shared" ref="AH2:AH41" si="8">WORKDAY.INTL(P2,AF2,1,0)</f>
        <v>46297</v>
      </c>
      <c r="AI2" s="42"/>
    </row>
    <row r="3" spans="1:35" x14ac:dyDescent="0.3">
      <c r="A3" s="45" t="s">
        <v>54</v>
      </c>
      <c r="B3" s="42" t="s">
        <v>63</v>
      </c>
      <c r="C3" s="42" t="s">
        <v>55</v>
      </c>
      <c r="D3" s="42" t="s">
        <v>31</v>
      </c>
      <c r="E3" s="42" t="s">
        <v>64</v>
      </c>
      <c r="F3" s="42">
        <v>8000</v>
      </c>
      <c r="G3" s="42">
        <v>7600</v>
      </c>
      <c r="H3" s="42">
        <v>7542</v>
      </c>
      <c r="I3" s="42"/>
      <c r="J3" s="42">
        <v>114</v>
      </c>
      <c r="K3" s="42">
        <v>0.84</v>
      </c>
      <c r="L3" s="29">
        <f t="shared" si="0"/>
        <v>1.4999999999999999E-2</v>
      </c>
      <c r="M3" s="30">
        <v>0.82</v>
      </c>
      <c r="N3" s="44">
        <v>46276</v>
      </c>
      <c r="O3" s="44">
        <v>46276</v>
      </c>
      <c r="P3" s="44">
        <v>46300</v>
      </c>
      <c r="Q3" s="31">
        <v>46290</v>
      </c>
      <c r="R3" s="32">
        <f t="shared" si="1"/>
        <v>11</v>
      </c>
      <c r="S3" s="33">
        <v>46300</v>
      </c>
      <c r="T3" s="34">
        <f t="shared" si="2"/>
        <v>7</v>
      </c>
      <c r="U3" s="35">
        <v>46301</v>
      </c>
      <c r="V3" s="36">
        <f t="shared" si="3"/>
        <v>2</v>
      </c>
      <c r="W3" s="37">
        <v>46301</v>
      </c>
      <c r="X3" s="38">
        <f t="shared" si="4"/>
        <v>1</v>
      </c>
      <c r="Y3" s="38">
        <f t="shared" si="5"/>
        <v>18</v>
      </c>
      <c r="Z3" s="28" t="str">
        <f t="shared" si="6"/>
        <v>EFICIENTE</v>
      </c>
      <c r="AA3" s="27" t="s">
        <v>38</v>
      </c>
      <c r="AB3" s="42" t="s">
        <v>53</v>
      </c>
      <c r="AC3" s="42">
        <v>48.96</v>
      </c>
      <c r="AD3" s="42">
        <v>4</v>
      </c>
      <c r="AE3" s="42">
        <v>24</v>
      </c>
      <c r="AF3" s="27">
        <f t="shared" si="7"/>
        <v>3</v>
      </c>
      <c r="AG3" s="42">
        <f>47/24</f>
        <v>1.9583333333333333</v>
      </c>
      <c r="AH3" s="39">
        <f t="shared" si="8"/>
        <v>46303</v>
      </c>
      <c r="AI3" s="42"/>
    </row>
    <row r="4" spans="1:35" x14ac:dyDescent="0.3">
      <c r="A4" s="45" t="s">
        <v>42</v>
      </c>
      <c r="B4" s="42" t="s">
        <v>65</v>
      </c>
      <c r="C4" s="42" t="s">
        <v>66</v>
      </c>
      <c r="D4" s="42" t="s">
        <v>67</v>
      </c>
      <c r="E4" s="42" t="s">
        <v>68</v>
      </c>
      <c r="F4" s="42">
        <v>11000</v>
      </c>
      <c r="G4" s="42">
        <v>9000</v>
      </c>
      <c r="H4" s="42"/>
      <c r="I4" s="42"/>
      <c r="J4" s="42"/>
      <c r="K4" s="42"/>
      <c r="L4" s="29">
        <f t="shared" si="0"/>
        <v>0</v>
      </c>
      <c r="M4" s="30">
        <v>0.77</v>
      </c>
      <c r="N4" s="44">
        <v>46246</v>
      </c>
      <c r="O4" s="44">
        <v>46246</v>
      </c>
      <c r="P4" s="44">
        <v>46294</v>
      </c>
      <c r="Q4" s="31"/>
      <c r="R4" s="32" t="str">
        <f t="shared" si="1"/>
        <v/>
      </c>
      <c r="S4" s="33"/>
      <c r="T4" s="34" t="str">
        <f t="shared" si="2"/>
        <v/>
      </c>
      <c r="U4" s="35"/>
      <c r="V4" s="36" t="str">
        <f t="shared" si="3"/>
        <v/>
      </c>
      <c r="W4" s="37"/>
      <c r="X4" s="38" t="str">
        <f t="shared" si="4"/>
        <v/>
      </c>
      <c r="Y4" s="38" t="str">
        <f t="shared" si="5"/>
        <v/>
      </c>
      <c r="Z4" s="28" t="str">
        <f t="shared" si="6"/>
        <v/>
      </c>
      <c r="AA4" s="27" t="s">
        <v>69</v>
      </c>
      <c r="AB4" s="42" t="s">
        <v>70</v>
      </c>
      <c r="AC4" s="42">
        <v>13.8</v>
      </c>
      <c r="AD4" s="42">
        <v>6</v>
      </c>
      <c r="AE4" s="42">
        <v>24</v>
      </c>
      <c r="AF4" s="27">
        <f t="shared" si="7"/>
        <v>8</v>
      </c>
      <c r="AG4" s="42"/>
      <c r="AH4" s="39">
        <f t="shared" si="8"/>
        <v>46304</v>
      </c>
      <c r="AI4" s="42"/>
    </row>
    <row r="5" spans="1:35" x14ac:dyDescent="0.3">
      <c r="A5" s="45" t="s">
        <v>41</v>
      </c>
      <c r="B5" s="42" t="s">
        <v>65</v>
      </c>
      <c r="C5" s="42" t="s">
        <v>71</v>
      </c>
      <c r="D5" s="42" t="s">
        <v>67</v>
      </c>
      <c r="E5" s="42" t="s">
        <v>35</v>
      </c>
      <c r="F5" s="42">
        <v>19000</v>
      </c>
      <c r="G5" s="42">
        <v>13065</v>
      </c>
      <c r="H5" s="42"/>
      <c r="I5" s="42"/>
      <c r="J5" s="42"/>
      <c r="K5" s="42"/>
      <c r="L5" s="29">
        <f t="shared" si="0"/>
        <v>0</v>
      </c>
      <c r="M5" s="30">
        <v>0.97</v>
      </c>
      <c r="N5" s="44">
        <v>46246</v>
      </c>
      <c r="O5" s="44">
        <v>46246</v>
      </c>
      <c r="P5" s="44">
        <v>46287</v>
      </c>
      <c r="Q5" s="31"/>
      <c r="R5" s="32" t="str">
        <f t="shared" si="1"/>
        <v/>
      </c>
      <c r="S5" s="33"/>
      <c r="T5" s="34" t="str">
        <f t="shared" si="2"/>
        <v/>
      </c>
      <c r="U5" s="35"/>
      <c r="V5" s="36" t="str">
        <f t="shared" si="3"/>
        <v/>
      </c>
      <c r="W5" s="37"/>
      <c r="X5" s="38" t="str">
        <f t="shared" si="4"/>
        <v/>
      </c>
      <c r="Y5" s="38" t="str">
        <f t="shared" si="5"/>
        <v/>
      </c>
      <c r="Z5" s="28" t="str">
        <f t="shared" si="6"/>
        <v/>
      </c>
      <c r="AA5" s="27" t="s">
        <v>76</v>
      </c>
      <c r="AB5" s="42" t="s">
        <v>70</v>
      </c>
      <c r="AC5" s="42">
        <v>13.56</v>
      </c>
      <c r="AD5" s="42">
        <v>8</v>
      </c>
      <c r="AE5" s="42">
        <v>24</v>
      </c>
      <c r="AF5" s="27">
        <f t="shared" si="7"/>
        <v>8</v>
      </c>
      <c r="AG5" s="42"/>
      <c r="AH5" s="39">
        <f t="shared" si="8"/>
        <v>46297</v>
      </c>
      <c r="AI5" s="42"/>
    </row>
    <row r="6" spans="1:35" x14ac:dyDescent="0.3">
      <c r="A6" s="58" t="s">
        <v>58</v>
      </c>
      <c r="B6" s="42" t="s">
        <v>65</v>
      </c>
      <c r="C6" s="42" t="s">
        <v>72</v>
      </c>
      <c r="D6" s="42" t="s">
        <v>67</v>
      </c>
      <c r="E6" s="42" t="s">
        <v>36</v>
      </c>
      <c r="F6" s="42">
        <v>19000</v>
      </c>
      <c r="G6" s="42">
        <v>10960</v>
      </c>
      <c r="H6" s="42"/>
      <c r="I6" s="42"/>
      <c r="J6" s="42"/>
      <c r="K6" s="42"/>
      <c r="L6" s="29">
        <f t="shared" si="0"/>
        <v>0</v>
      </c>
      <c r="M6" s="30">
        <v>0.91</v>
      </c>
      <c r="N6" s="44">
        <v>46246</v>
      </c>
      <c r="O6" s="44">
        <v>46246</v>
      </c>
      <c r="P6" s="44">
        <v>46302</v>
      </c>
      <c r="Q6" s="31"/>
      <c r="R6" s="32" t="str">
        <f t="shared" si="1"/>
        <v/>
      </c>
      <c r="S6" s="33"/>
      <c r="T6" s="34" t="str">
        <f t="shared" si="2"/>
        <v/>
      </c>
      <c r="U6" s="35"/>
      <c r="V6" s="36" t="str">
        <f t="shared" si="3"/>
        <v/>
      </c>
      <c r="W6" s="37"/>
      <c r="X6" s="38" t="str">
        <f t="shared" si="4"/>
        <v/>
      </c>
      <c r="Y6" s="38" t="str">
        <f t="shared" si="5"/>
        <v/>
      </c>
      <c r="Z6" s="28" t="str">
        <f t="shared" si="6"/>
        <v/>
      </c>
      <c r="AA6" s="27" t="s">
        <v>69</v>
      </c>
      <c r="AB6" s="42" t="s">
        <v>70</v>
      </c>
      <c r="AC6" s="42">
        <v>14.76</v>
      </c>
      <c r="AD6" s="42">
        <v>8</v>
      </c>
      <c r="AE6" s="42">
        <v>24</v>
      </c>
      <c r="AF6" s="27">
        <f t="shared" si="7"/>
        <v>8</v>
      </c>
      <c r="AG6" s="42"/>
      <c r="AH6" s="39">
        <f t="shared" si="8"/>
        <v>46314</v>
      </c>
      <c r="AI6" s="42"/>
    </row>
    <row r="7" spans="1:35" x14ac:dyDescent="0.3">
      <c r="A7" s="58" t="s">
        <v>77</v>
      </c>
      <c r="B7" s="42" t="s">
        <v>78</v>
      </c>
      <c r="C7" s="42" t="s">
        <v>79</v>
      </c>
      <c r="D7" s="42" t="s">
        <v>31</v>
      </c>
      <c r="E7" s="42" t="s">
        <v>35</v>
      </c>
      <c r="F7" s="42">
        <v>36000</v>
      </c>
      <c r="G7" s="42">
        <v>18770</v>
      </c>
      <c r="H7" s="42">
        <v>18400</v>
      </c>
      <c r="I7" s="42"/>
      <c r="J7" s="42"/>
      <c r="K7" s="42"/>
      <c r="L7" s="29">
        <f t="shared" si="0"/>
        <v>0</v>
      </c>
      <c r="M7" s="30">
        <v>0.8</v>
      </c>
      <c r="N7" s="44">
        <v>46283</v>
      </c>
      <c r="O7" s="44">
        <v>46284</v>
      </c>
      <c r="P7" s="44">
        <v>46302</v>
      </c>
      <c r="Q7" s="31"/>
      <c r="R7" s="32" t="str">
        <f t="shared" si="1"/>
        <v/>
      </c>
      <c r="S7" s="33"/>
      <c r="T7" s="34" t="str">
        <f t="shared" si="2"/>
        <v/>
      </c>
      <c r="U7" s="35"/>
      <c r="V7" s="36" t="str">
        <f t="shared" si="3"/>
        <v/>
      </c>
      <c r="W7" s="37"/>
      <c r="X7" s="38" t="str">
        <f t="shared" si="4"/>
        <v/>
      </c>
      <c r="Y7" s="38" t="str">
        <f t="shared" si="5"/>
        <v/>
      </c>
      <c r="Z7" s="28" t="str">
        <f t="shared" si="6"/>
        <v/>
      </c>
      <c r="AA7" s="27" t="s">
        <v>69</v>
      </c>
      <c r="AB7" s="42" t="s">
        <v>82</v>
      </c>
      <c r="AC7" s="42">
        <v>56.04</v>
      </c>
      <c r="AD7" s="42">
        <v>6</v>
      </c>
      <c r="AE7" s="42">
        <v>24</v>
      </c>
      <c r="AF7" s="27">
        <f t="shared" si="7"/>
        <v>6</v>
      </c>
      <c r="AG7" s="42"/>
      <c r="AH7" s="39">
        <f t="shared" si="8"/>
        <v>46310</v>
      </c>
      <c r="AI7" s="42"/>
    </row>
    <row r="8" spans="1:35" x14ac:dyDescent="0.3">
      <c r="A8" s="45" t="s">
        <v>83</v>
      </c>
      <c r="B8" s="42" t="s">
        <v>84</v>
      </c>
      <c r="C8" s="42" t="s">
        <v>55</v>
      </c>
      <c r="D8" s="42" t="s">
        <v>31</v>
      </c>
      <c r="E8" s="42" t="s">
        <v>64</v>
      </c>
      <c r="F8" s="42">
        <v>4000</v>
      </c>
      <c r="G8" s="42">
        <v>3397</v>
      </c>
      <c r="H8" s="42">
        <v>3500</v>
      </c>
      <c r="I8" s="42"/>
      <c r="J8" s="42">
        <v>346</v>
      </c>
      <c r="K8" s="42">
        <v>1.35</v>
      </c>
      <c r="L8" s="29">
        <f t="shared" si="0"/>
        <v>0.10185457756844274</v>
      </c>
      <c r="M8" s="30">
        <v>0.82</v>
      </c>
      <c r="N8" s="44">
        <v>46276</v>
      </c>
      <c r="O8" s="44">
        <v>46276</v>
      </c>
      <c r="P8" s="44">
        <v>46307</v>
      </c>
      <c r="Q8" s="31">
        <v>46299</v>
      </c>
      <c r="R8" s="32">
        <f t="shared" si="1"/>
        <v>16</v>
      </c>
      <c r="S8" s="33">
        <v>46309</v>
      </c>
      <c r="T8" s="34">
        <f t="shared" si="2"/>
        <v>8</v>
      </c>
      <c r="U8" s="35">
        <v>46310</v>
      </c>
      <c r="V8" s="36">
        <f t="shared" si="3"/>
        <v>2</v>
      </c>
      <c r="W8" s="37">
        <v>46309</v>
      </c>
      <c r="X8" s="38">
        <f t="shared" ref="X8:X36" si="9">IF(W8="","",NETWORKDAYS(U8,W8))</f>
        <v>-2</v>
      </c>
      <c r="Y8" s="38">
        <f t="shared" si="5"/>
        <v>24</v>
      </c>
      <c r="Z8" s="28" t="str">
        <f t="shared" si="6"/>
        <v>NO EFICIENTE</v>
      </c>
      <c r="AA8" s="27" t="s">
        <v>38</v>
      </c>
      <c r="AB8" s="42" t="s">
        <v>53</v>
      </c>
      <c r="AC8" s="42">
        <v>48.96</v>
      </c>
      <c r="AD8" s="42">
        <v>2</v>
      </c>
      <c r="AE8" s="42">
        <v>24</v>
      </c>
      <c r="AF8" s="27">
        <f>ROUNDUP((F8*1/(AC8*AD8*M8*AE8)),0)</f>
        <v>3</v>
      </c>
      <c r="AG8" s="42"/>
      <c r="AH8" s="39">
        <f t="shared" si="8"/>
        <v>46310</v>
      </c>
      <c r="AI8" s="42"/>
    </row>
    <row r="9" spans="1:35" x14ac:dyDescent="0.3">
      <c r="A9" s="45" t="s">
        <v>85</v>
      </c>
      <c r="B9" s="42" t="s">
        <v>86</v>
      </c>
      <c r="C9" s="42" t="s">
        <v>87</v>
      </c>
      <c r="D9" s="42" t="s">
        <v>31</v>
      </c>
      <c r="E9" s="42" t="s">
        <v>33</v>
      </c>
      <c r="F9" s="42">
        <v>800</v>
      </c>
      <c r="G9" s="42">
        <v>725</v>
      </c>
      <c r="H9" s="42">
        <v>700</v>
      </c>
      <c r="I9" s="42"/>
      <c r="J9" s="42">
        <v>3</v>
      </c>
      <c r="K9" s="42">
        <v>0.08</v>
      </c>
      <c r="L9" s="29">
        <f t="shared" si="0"/>
        <v>4.1379310344827587E-3</v>
      </c>
      <c r="M9" s="30">
        <v>0.76</v>
      </c>
      <c r="N9" s="44">
        <v>46276</v>
      </c>
      <c r="O9" s="44">
        <v>46276</v>
      </c>
      <c r="P9" s="44">
        <v>46297</v>
      </c>
      <c r="Q9" s="31">
        <v>46297</v>
      </c>
      <c r="R9" s="32">
        <f t="shared" si="1"/>
        <v>16</v>
      </c>
      <c r="S9" s="33">
        <v>46297</v>
      </c>
      <c r="T9" s="34">
        <f t="shared" si="2"/>
        <v>1</v>
      </c>
      <c r="U9" s="35">
        <v>46300</v>
      </c>
      <c r="V9" s="36">
        <f t="shared" si="3"/>
        <v>2</v>
      </c>
      <c r="W9" s="37">
        <v>46310</v>
      </c>
      <c r="X9" s="38">
        <f t="shared" si="9"/>
        <v>9</v>
      </c>
      <c r="Y9" s="38">
        <f t="shared" si="5"/>
        <v>25</v>
      </c>
      <c r="Z9" s="28" t="str">
        <f t="shared" si="6"/>
        <v>NO EFICIENTE</v>
      </c>
      <c r="AA9" s="27" t="s">
        <v>38</v>
      </c>
      <c r="AB9" s="42" t="s">
        <v>88</v>
      </c>
      <c r="AC9" s="42">
        <v>83.76</v>
      </c>
      <c r="AD9" s="42">
        <v>2</v>
      </c>
      <c r="AE9" s="42">
        <v>24</v>
      </c>
      <c r="AF9" s="27">
        <f t="shared" ref="AF9:AF41" si="10">ROUNDUP((F9*1/(AC9*AD9*M9*AE9)),0)</f>
        <v>1</v>
      </c>
      <c r="AG9" s="42">
        <f>3/24</f>
        <v>0.125</v>
      </c>
      <c r="AH9" s="39">
        <f t="shared" si="8"/>
        <v>46300</v>
      </c>
      <c r="AI9" s="42"/>
    </row>
    <row r="10" spans="1:35" x14ac:dyDescent="0.3">
      <c r="A10" s="58" t="s">
        <v>89</v>
      </c>
      <c r="B10" s="42" t="s">
        <v>90</v>
      </c>
      <c r="C10" s="42" t="s">
        <v>91</v>
      </c>
      <c r="D10" s="42" t="s">
        <v>67</v>
      </c>
      <c r="E10" s="42" t="s">
        <v>35</v>
      </c>
      <c r="F10" s="42">
        <v>702</v>
      </c>
      <c r="G10" s="42"/>
      <c r="H10" s="42"/>
      <c r="I10" s="42"/>
      <c r="J10" s="42"/>
      <c r="K10" s="42"/>
      <c r="L10" s="29" t="e">
        <f t="shared" si="0"/>
        <v>#DIV/0!</v>
      </c>
      <c r="M10" s="30">
        <v>0.61</v>
      </c>
      <c r="N10" s="44">
        <v>46273</v>
      </c>
      <c r="O10" s="44">
        <v>46274</v>
      </c>
      <c r="P10" s="44">
        <v>46307</v>
      </c>
      <c r="Q10" s="31"/>
      <c r="R10" s="32" t="str">
        <f t="shared" si="1"/>
        <v/>
      </c>
      <c r="S10" s="33"/>
      <c r="T10" s="34" t="str">
        <f t="shared" si="2"/>
        <v/>
      </c>
      <c r="U10" s="35"/>
      <c r="V10" s="36" t="str">
        <f t="shared" si="3"/>
        <v/>
      </c>
      <c r="W10" s="37">
        <v>46275</v>
      </c>
      <c r="X10" s="38">
        <f t="shared" si="9"/>
        <v>33054</v>
      </c>
      <c r="Y10" s="38">
        <f t="shared" si="5"/>
        <v>3</v>
      </c>
      <c r="Z10" s="28" t="str">
        <f t="shared" si="6"/>
        <v>EFICIENTE</v>
      </c>
      <c r="AA10" s="27" t="s">
        <v>38</v>
      </c>
      <c r="AB10" s="42" t="s">
        <v>92</v>
      </c>
      <c r="AC10" s="42">
        <v>19.32</v>
      </c>
      <c r="AD10" s="42">
        <v>2</v>
      </c>
      <c r="AE10" s="42">
        <v>10</v>
      </c>
      <c r="AF10" s="27">
        <f t="shared" si="10"/>
        <v>3</v>
      </c>
      <c r="AG10" s="42"/>
      <c r="AH10" s="39">
        <f t="shared" si="8"/>
        <v>46310</v>
      </c>
      <c r="AI10" s="42"/>
    </row>
    <row r="11" spans="1:35" x14ac:dyDescent="0.3">
      <c r="A11" s="58" t="s">
        <v>57</v>
      </c>
      <c r="B11" s="42" t="s">
        <v>93</v>
      </c>
      <c r="C11" s="42" t="s">
        <v>94</v>
      </c>
      <c r="D11" s="42" t="s">
        <v>67</v>
      </c>
      <c r="E11" s="42" t="s">
        <v>32</v>
      </c>
      <c r="F11" s="42">
        <v>4048</v>
      </c>
      <c r="G11" s="42">
        <v>4303</v>
      </c>
      <c r="H11" s="42"/>
      <c r="I11" s="42"/>
      <c r="J11" s="42"/>
      <c r="K11" s="42"/>
      <c r="L11" s="29">
        <f t="shared" si="0"/>
        <v>0</v>
      </c>
      <c r="M11" s="30">
        <v>0.7</v>
      </c>
      <c r="N11" s="44">
        <v>46281</v>
      </c>
      <c r="O11" s="44">
        <v>46281</v>
      </c>
      <c r="P11" s="44">
        <v>46303</v>
      </c>
      <c r="Q11" s="31"/>
      <c r="R11" s="32" t="str">
        <f t="shared" si="1"/>
        <v/>
      </c>
      <c r="S11" s="33">
        <v>46309</v>
      </c>
      <c r="T11" s="34">
        <f t="shared" si="2"/>
        <v>33078</v>
      </c>
      <c r="U11" s="35"/>
      <c r="V11" s="36" t="str">
        <f t="shared" si="3"/>
        <v/>
      </c>
      <c r="W11" s="37"/>
      <c r="X11" s="38" t="str">
        <f t="shared" si="9"/>
        <v/>
      </c>
      <c r="Y11" s="38" t="str">
        <f t="shared" si="5"/>
        <v/>
      </c>
      <c r="Z11" s="28" t="str">
        <f t="shared" si="6"/>
        <v/>
      </c>
      <c r="AA11" s="27" t="s">
        <v>76</v>
      </c>
      <c r="AB11" s="42" t="s">
        <v>95</v>
      </c>
      <c r="AC11" s="42">
        <v>18.72</v>
      </c>
      <c r="AD11" s="42">
        <v>4</v>
      </c>
      <c r="AE11" s="42">
        <v>24</v>
      </c>
      <c r="AF11" s="27">
        <f t="shared" si="10"/>
        <v>4</v>
      </c>
      <c r="AG11" s="42"/>
      <c r="AH11" s="39">
        <f t="shared" si="8"/>
        <v>46309</v>
      </c>
      <c r="AI11" s="42"/>
    </row>
    <row r="12" spans="1:35" x14ac:dyDescent="0.3">
      <c r="A12" s="58" t="s">
        <v>97</v>
      </c>
      <c r="B12" s="42" t="s">
        <v>98</v>
      </c>
      <c r="C12" s="42" t="s">
        <v>129</v>
      </c>
      <c r="D12" s="42" t="s">
        <v>99</v>
      </c>
      <c r="E12" s="42"/>
      <c r="F12" s="42">
        <v>21600</v>
      </c>
      <c r="G12" s="42"/>
      <c r="H12" s="42"/>
      <c r="I12" s="42"/>
      <c r="J12" s="42"/>
      <c r="K12" s="42"/>
      <c r="L12" s="29" t="e">
        <f t="shared" si="0"/>
        <v>#DIV/0!</v>
      </c>
      <c r="M12" s="30"/>
      <c r="N12" s="44">
        <v>46295</v>
      </c>
      <c r="O12" s="44">
        <v>46295</v>
      </c>
      <c r="P12" s="44"/>
      <c r="Q12" s="31"/>
      <c r="R12" s="32" t="str">
        <f t="shared" si="1"/>
        <v/>
      </c>
      <c r="S12" s="33"/>
      <c r="T12" s="34" t="str">
        <f t="shared" si="2"/>
        <v/>
      </c>
      <c r="U12" s="35"/>
      <c r="V12" s="36" t="str">
        <f t="shared" si="3"/>
        <v/>
      </c>
      <c r="W12" s="37"/>
      <c r="X12" s="38" t="str">
        <f t="shared" si="9"/>
        <v/>
      </c>
      <c r="Y12" s="38" t="str">
        <f t="shared" si="5"/>
        <v/>
      </c>
      <c r="Z12" s="28" t="str">
        <f t="shared" si="6"/>
        <v/>
      </c>
      <c r="AA12" s="27" t="s">
        <v>69</v>
      </c>
      <c r="AB12" s="42" t="s">
        <v>100</v>
      </c>
      <c r="AC12" s="42"/>
      <c r="AD12" s="42"/>
      <c r="AE12" s="42"/>
      <c r="AF12" s="27" t="e">
        <f t="shared" si="10"/>
        <v>#DIV/0!</v>
      </c>
      <c r="AG12" s="42"/>
      <c r="AH12" s="39" t="e">
        <f t="shared" si="8"/>
        <v>#DIV/0!</v>
      </c>
      <c r="AI12" s="42"/>
    </row>
    <row r="13" spans="1:35" x14ac:dyDescent="0.3">
      <c r="A13" s="59" t="s">
        <v>103</v>
      </c>
      <c r="B13" s="42" t="s">
        <v>105</v>
      </c>
      <c r="C13" s="42" t="s">
        <v>106</v>
      </c>
      <c r="D13" s="42" t="s">
        <v>67</v>
      </c>
      <c r="E13" s="42" t="s">
        <v>36</v>
      </c>
      <c r="F13" s="42">
        <f>1380+690</f>
        <v>2070</v>
      </c>
      <c r="G13" s="42">
        <v>1633</v>
      </c>
      <c r="H13" s="42">
        <v>1840</v>
      </c>
      <c r="I13" s="42"/>
      <c r="J13" s="42"/>
      <c r="K13" s="42"/>
      <c r="L13" s="29">
        <f t="shared" si="0"/>
        <v>0</v>
      </c>
      <c r="M13" s="30">
        <v>0.71</v>
      </c>
      <c r="N13" s="44">
        <v>46281</v>
      </c>
      <c r="O13" s="44">
        <v>46281</v>
      </c>
      <c r="P13" s="44">
        <v>46304</v>
      </c>
      <c r="Q13" s="31">
        <v>46300</v>
      </c>
      <c r="R13" s="32">
        <f t="shared" si="1"/>
        <v>14</v>
      </c>
      <c r="S13" s="33">
        <v>46307</v>
      </c>
      <c r="T13" s="34">
        <f t="shared" si="2"/>
        <v>6</v>
      </c>
      <c r="U13" s="35">
        <v>46308</v>
      </c>
      <c r="V13" s="36">
        <f t="shared" si="3"/>
        <v>2</v>
      </c>
      <c r="W13" s="37">
        <v>46281</v>
      </c>
      <c r="X13" s="38">
        <f t="shared" si="9"/>
        <v>-20</v>
      </c>
      <c r="Y13" s="38">
        <f t="shared" si="5"/>
        <v>1</v>
      </c>
      <c r="Z13" s="28" t="str">
        <f t="shared" si="6"/>
        <v>EFICIENTE</v>
      </c>
      <c r="AA13" s="27" t="s">
        <v>38</v>
      </c>
      <c r="AB13" s="42" t="s">
        <v>53</v>
      </c>
      <c r="AC13" s="42"/>
      <c r="AD13" s="42">
        <v>4</v>
      </c>
      <c r="AE13" s="42"/>
      <c r="AF13" s="27" t="e">
        <f t="shared" si="10"/>
        <v>#DIV/0!</v>
      </c>
      <c r="AG13" s="42"/>
      <c r="AH13" s="39" t="e">
        <f>WORKDAY.INTL(P13,AF13,1,0)</f>
        <v>#DIV/0!</v>
      </c>
      <c r="AI13" s="42"/>
    </row>
    <row r="14" spans="1:35" x14ac:dyDescent="0.3">
      <c r="A14" s="43" t="s">
        <v>60</v>
      </c>
      <c r="B14" s="42" t="s">
        <v>108</v>
      </c>
      <c r="C14" s="42" t="s">
        <v>109</v>
      </c>
      <c r="D14" s="42" t="s">
        <v>31</v>
      </c>
      <c r="E14" s="42" t="s">
        <v>36</v>
      </c>
      <c r="F14" s="42">
        <v>4000</v>
      </c>
      <c r="G14" s="42">
        <v>3486</v>
      </c>
      <c r="H14" s="42"/>
      <c r="I14" s="42"/>
      <c r="J14" s="42"/>
      <c r="K14" s="42"/>
      <c r="L14" s="29">
        <f t="shared" si="0"/>
        <v>0</v>
      </c>
      <c r="M14" s="30">
        <v>0.76</v>
      </c>
      <c r="N14" s="44">
        <v>46281</v>
      </c>
      <c r="O14" s="44">
        <v>46281</v>
      </c>
      <c r="P14" s="44">
        <v>46300</v>
      </c>
      <c r="Q14" s="31">
        <v>46293</v>
      </c>
      <c r="R14" s="32">
        <f t="shared" si="1"/>
        <v>9</v>
      </c>
      <c r="S14" s="33">
        <v>46300</v>
      </c>
      <c r="T14" s="34">
        <f t="shared" si="2"/>
        <v>6</v>
      </c>
      <c r="U14" s="35"/>
      <c r="V14" s="36" t="str">
        <f t="shared" si="3"/>
        <v/>
      </c>
      <c r="W14" s="37"/>
      <c r="X14" s="38" t="str">
        <f t="shared" si="9"/>
        <v/>
      </c>
      <c r="Y14" s="38" t="str">
        <f t="shared" si="5"/>
        <v/>
      </c>
      <c r="Z14" s="28" t="str">
        <f t="shared" si="6"/>
        <v/>
      </c>
      <c r="AA14" s="27" t="s">
        <v>76</v>
      </c>
      <c r="AB14" s="42" t="s">
        <v>110</v>
      </c>
      <c r="AC14" s="42">
        <v>66.84</v>
      </c>
      <c r="AD14" s="42">
        <v>6</v>
      </c>
      <c r="AE14" s="42">
        <v>24</v>
      </c>
      <c r="AF14" s="27">
        <f t="shared" si="10"/>
        <v>1</v>
      </c>
      <c r="AG14" s="42"/>
      <c r="AH14" s="39">
        <f t="shared" si="8"/>
        <v>46301</v>
      </c>
      <c r="AI14" s="42" t="s">
        <v>161</v>
      </c>
    </row>
    <row r="15" spans="1:35" x14ac:dyDescent="0.3">
      <c r="A15" s="43" t="s">
        <v>111</v>
      </c>
      <c r="B15" s="42" t="s">
        <v>107</v>
      </c>
      <c r="C15" s="42" t="s">
        <v>109</v>
      </c>
      <c r="D15" s="42" t="s">
        <v>31</v>
      </c>
      <c r="E15" s="42" t="s">
        <v>35</v>
      </c>
      <c r="F15" s="42">
        <v>2000</v>
      </c>
      <c r="G15" s="42">
        <v>2300</v>
      </c>
      <c r="H15" s="42"/>
      <c r="I15" s="42"/>
      <c r="J15" s="42"/>
      <c r="K15" s="42"/>
      <c r="L15" s="29">
        <f t="shared" si="0"/>
        <v>0</v>
      </c>
      <c r="M15" s="30">
        <v>0.6</v>
      </c>
      <c r="N15" s="44">
        <v>46300</v>
      </c>
      <c r="O15" s="44">
        <v>46300</v>
      </c>
      <c r="P15" s="44">
        <v>46307</v>
      </c>
      <c r="Q15" s="31">
        <v>46303</v>
      </c>
      <c r="R15" s="32">
        <f t="shared" si="1"/>
        <v>4</v>
      </c>
      <c r="S15" s="33">
        <v>46307</v>
      </c>
      <c r="T15" s="34">
        <f t="shared" si="2"/>
        <v>3</v>
      </c>
      <c r="U15" s="35"/>
      <c r="V15" s="36" t="str">
        <f t="shared" si="3"/>
        <v/>
      </c>
      <c r="W15" s="37"/>
      <c r="X15" s="38" t="str">
        <f t="shared" si="9"/>
        <v/>
      </c>
      <c r="Y15" s="38" t="str">
        <f t="shared" si="5"/>
        <v/>
      </c>
      <c r="Z15" s="28" t="str">
        <f t="shared" si="6"/>
        <v/>
      </c>
      <c r="AA15" s="27" t="s">
        <v>373</v>
      </c>
      <c r="AB15" s="42" t="s">
        <v>110</v>
      </c>
      <c r="AC15" s="42">
        <v>66.36</v>
      </c>
      <c r="AD15" s="42">
        <v>4</v>
      </c>
      <c r="AE15" s="42">
        <v>24</v>
      </c>
      <c r="AF15" s="27">
        <f>ROUNDUP((F15*1/(AC15*AD15*M15*AE15)),0)</f>
        <v>1</v>
      </c>
      <c r="AG15" s="42"/>
      <c r="AH15" s="39">
        <f>WORKDAY.INTL(P15,AF15,1,0)</f>
        <v>46308</v>
      </c>
      <c r="AI15" s="42"/>
    </row>
    <row r="16" spans="1:35" x14ac:dyDescent="0.3">
      <c r="A16" s="42" t="s">
        <v>80</v>
      </c>
      <c r="B16" s="42" t="s">
        <v>112</v>
      </c>
      <c r="C16" s="42" t="s">
        <v>81</v>
      </c>
      <c r="D16" s="42" t="s">
        <v>31</v>
      </c>
      <c r="E16" s="42"/>
      <c r="F16" s="42">
        <v>4000</v>
      </c>
      <c r="G16" s="42"/>
      <c r="H16" s="42"/>
      <c r="I16" s="42"/>
      <c r="J16" s="42"/>
      <c r="K16" s="42"/>
      <c r="L16" s="29" t="e">
        <f t="shared" si="0"/>
        <v>#DIV/0!</v>
      </c>
      <c r="M16" s="30">
        <v>0.6</v>
      </c>
      <c r="N16" s="44">
        <v>46255</v>
      </c>
      <c r="O16" s="44">
        <v>46255</v>
      </c>
      <c r="P16" s="44"/>
      <c r="Q16" s="31"/>
      <c r="R16" s="32" t="str">
        <f t="shared" si="1"/>
        <v/>
      </c>
      <c r="S16" s="33"/>
      <c r="T16" s="34" t="str">
        <f t="shared" si="2"/>
        <v/>
      </c>
      <c r="U16" s="35"/>
      <c r="V16" s="36" t="str">
        <f t="shared" si="3"/>
        <v/>
      </c>
      <c r="W16" s="37"/>
      <c r="X16" s="38" t="str">
        <f t="shared" si="9"/>
        <v/>
      </c>
      <c r="Y16" s="38" t="str">
        <f t="shared" si="5"/>
        <v/>
      </c>
      <c r="Z16" s="28" t="str">
        <f t="shared" si="6"/>
        <v/>
      </c>
      <c r="AA16" s="27" t="s">
        <v>38</v>
      </c>
      <c r="AB16" s="42" t="s">
        <v>82</v>
      </c>
      <c r="AC16" s="42"/>
      <c r="AD16" s="42">
        <v>4</v>
      </c>
      <c r="AE16" s="42"/>
      <c r="AF16" s="27" t="e">
        <f t="shared" si="10"/>
        <v>#DIV/0!</v>
      </c>
      <c r="AG16" s="42"/>
      <c r="AH16" s="39" t="e">
        <f t="shared" si="8"/>
        <v>#DIV/0!</v>
      </c>
      <c r="AI16" s="42"/>
    </row>
    <row r="17" spans="1:35" x14ac:dyDescent="0.3">
      <c r="A17" s="45" t="s">
        <v>113</v>
      </c>
      <c r="B17" s="42" t="s">
        <v>44</v>
      </c>
      <c r="C17" s="42" t="s">
        <v>37</v>
      </c>
      <c r="D17" s="42" t="s">
        <v>31</v>
      </c>
      <c r="E17" s="42" t="s">
        <v>52</v>
      </c>
      <c r="F17" s="42">
        <v>18000</v>
      </c>
      <c r="G17" s="42">
        <v>16907</v>
      </c>
      <c r="H17" s="42">
        <v>16500</v>
      </c>
      <c r="I17" s="42"/>
      <c r="J17" s="42">
        <v>1377</v>
      </c>
      <c r="K17" s="42">
        <v>5.61</v>
      </c>
      <c r="L17" s="29">
        <f t="shared" si="0"/>
        <v>8.1445555095522565E-2</v>
      </c>
      <c r="M17" s="30">
        <v>0.88</v>
      </c>
      <c r="N17" s="44">
        <v>46276</v>
      </c>
      <c r="O17" s="44">
        <v>46276</v>
      </c>
      <c r="P17" s="44">
        <v>46302</v>
      </c>
      <c r="Q17" s="31">
        <v>46297</v>
      </c>
      <c r="R17" s="32">
        <f t="shared" si="1"/>
        <v>16</v>
      </c>
      <c r="S17" s="33">
        <v>46303</v>
      </c>
      <c r="T17" s="34">
        <f t="shared" si="2"/>
        <v>5</v>
      </c>
      <c r="U17" s="35">
        <v>46308</v>
      </c>
      <c r="V17" s="36">
        <f t="shared" si="3"/>
        <v>4</v>
      </c>
      <c r="W17" s="37"/>
      <c r="X17" s="38" t="str">
        <f t="shared" si="9"/>
        <v/>
      </c>
      <c r="Y17" s="38" t="str">
        <f t="shared" si="5"/>
        <v/>
      </c>
      <c r="Z17" s="28" t="str">
        <f t="shared" si="6"/>
        <v/>
      </c>
      <c r="AA17" s="27" t="s">
        <v>38</v>
      </c>
      <c r="AB17" s="42" t="s">
        <v>53</v>
      </c>
      <c r="AC17" s="42">
        <v>90</v>
      </c>
      <c r="AD17" s="42">
        <v>6</v>
      </c>
      <c r="AE17" s="42">
        <v>24</v>
      </c>
      <c r="AF17" s="27">
        <f t="shared" si="10"/>
        <v>2</v>
      </c>
      <c r="AG17" s="42">
        <f>35/24</f>
        <v>1.4583333333333333</v>
      </c>
      <c r="AH17" s="39">
        <f t="shared" si="8"/>
        <v>46304</v>
      </c>
      <c r="AI17" s="42"/>
    </row>
    <row r="18" spans="1:35" x14ac:dyDescent="0.3">
      <c r="A18" s="42" t="s">
        <v>115</v>
      </c>
      <c r="B18" s="42" t="s">
        <v>116</v>
      </c>
      <c r="C18" s="42" t="s">
        <v>117</v>
      </c>
      <c r="D18" s="42" t="s">
        <v>31</v>
      </c>
      <c r="E18" s="42"/>
      <c r="F18" s="42">
        <v>2500</v>
      </c>
      <c r="G18" s="42">
        <v>2499</v>
      </c>
      <c r="H18" s="42">
        <v>2270</v>
      </c>
      <c r="I18" s="42"/>
      <c r="J18" s="42">
        <v>863</v>
      </c>
      <c r="K18" s="42">
        <v>2.2000000000000002</v>
      </c>
      <c r="L18" s="29">
        <f>+J18/G18</f>
        <v>0.34533813525410162</v>
      </c>
      <c r="M18" s="30">
        <v>0.46</v>
      </c>
      <c r="N18" s="44">
        <v>46295</v>
      </c>
      <c r="O18" s="44">
        <v>46295</v>
      </c>
      <c r="P18" s="44">
        <v>46309</v>
      </c>
      <c r="Q18" s="31">
        <v>46303</v>
      </c>
      <c r="R18" s="32">
        <f t="shared" si="1"/>
        <v>7</v>
      </c>
      <c r="S18" s="33">
        <v>46309</v>
      </c>
      <c r="T18" s="34">
        <f t="shared" si="2"/>
        <v>5</v>
      </c>
      <c r="U18" s="35">
        <v>46310</v>
      </c>
      <c r="V18" s="36">
        <f t="shared" si="3"/>
        <v>2</v>
      </c>
      <c r="W18" s="37">
        <v>46310</v>
      </c>
      <c r="X18" s="38">
        <f t="shared" si="9"/>
        <v>1</v>
      </c>
      <c r="Y18" s="38">
        <f t="shared" si="5"/>
        <v>12</v>
      </c>
      <c r="Z18" s="28" t="str">
        <f t="shared" si="6"/>
        <v>EFICIENTE</v>
      </c>
      <c r="AA18" s="27" t="s">
        <v>38</v>
      </c>
      <c r="AB18" s="42" t="s">
        <v>118</v>
      </c>
      <c r="AC18" s="42">
        <v>53.4</v>
      </c>
      <c r="AD18" s="42">
        <v>5</v>
      </c>
      <c r="AE18" s="42">
        <v>24</v>
      </c>
      <c r="AF18" s="27">
        <f>ROUNDUP((F18*1/(AC18*AD18*M18*AE18)),0)</f>
        <v>1</v>
      </c>
      <c r="AG18" s="42">
        <f>22/24</f>
        <v>0.91666666666666663</v>
      </c>
      <c r="AH18" s="39">
        <f t="shared" si="8"/>
        <v>46310</v>
      </c>
      <c r="AI18" s="42" t="s">
        <v>162</v>
      </c>
    </row>
    <row r="19" spans="1:35" x14ac:dyDescent="0.3">
      <c r="A19" s="58" t="s">
        <v>119</v>
      </c>
      <c r="B19" s="42" t="s">
        <v>120</v>
      </c>
      <c r="C19" s="42" t="s">
        <v>154</v>
      </c>
      <c r="D19" s="42" t="s">
        <v>31</v>
      </c>
      <c r="E19" s="42"/>
      <c r="F19" s="42">
        <v>12000</v>
      </c>
      <c r="G19" s="42">
        <v>2850</v>
      </c>
      <c r="H19" s="42"/>
      <c r="I19" s="42"/>
      <c r="J19" s="42"/>
      <c r="K19" s="42"/>
      <c r="L19" s="29">
        <f t="shared" si="0"/>
        <v>0</v>
      </c>
      <c r="M19" s="30">
        <v>1</v>
      </c>
      <c r="N19" s="44">
        <v>46289</v>
      </c>
      <c r="O19" s="44">
        <v>46289</v>
      </c>
      <c r="P19" s="44">
        <v>46309</v>
      </c>
      <c r="Q19" s="31"/>
      <c r="R19" s="32" t="str">
        <f t="shared" si="1"/>
        <v/>
      </c>
      <c r="S19" s="33"/>
      <c r="T19" s="34" t="str">
        <f t="shared" si="2"/>
        <v/>
      </c>
      <c r="U19" s="35"/>
      <c r="V19" s="36" t="str">
        <f t="shared" si="3"/>
        <v/>
      </c>
      <c r="W19" s="37"/>
      <c r="X19" s="38" t="str">
        <f t="shared" si="9"/>
        <v/>
      </c>
      <c r="Y19" s="38" t="str">
        <f t="shared" si="5"/>
        <v/>
      </c>
      <c r="Z19" s="28" t="str">
        <f t="shared" si="6"/>
        <v/>
      </c>
      <c r="AA19" s="27" t="s">
        <v>69</v>
      </c>
      <c r="AB19" s="42" t="s">
        <v>121</v>
      </c>
      <c r="AC19" s="42">
        <v>38.159999999999997</v>
      </c>
      <c r="AD19" s="42">
        <v>5</v>
      </c>
      <c r="AE19" s="42">
        <v>24</v>
      </c>
      <c r="AF19" s="27">
        <f t="shared" si="10"/>
        <v>3</v>
      </c>
      <c r="AG19" s="42"/>
      <c r="AH19" s="39">
        <f t="shared" si="8"/>
        <v>46314</v>
      </c>
      <c r="AI19" s="42" t="s">
        <v>155</v>
      </c>
    </row>
    <row r="20" spans="1:35" x14ac:dyDescent="0.3">
      <c r="A20" s="42" t="s">
        <v>56</v>
      </c>
      <c r="B20" s="42" t="s">
        <v>122</v>
      </c>
      <c r="C20" s="42" t="s">
        <v>123</v>
      </c>
      <c r="D20" s="42" t="s">
        <v>67</v>
      </c>
      <c r="E20" s="42" t="s">
        <v>124</v>
      </c>
      <c r="F20" s="42">
        <v>2024</v>
      </c>
      <c r="G20" s="42">
        <v>1949</v>
      </c>
      <c r="H20" s="42">
        <v>1949</v>
      </c>
      <c r="I20" s="42"/>
      <c r="J20" s="42">
        <v>230</v>
      </c>
      <c r="K20" s="42">
        <v>6.75</v>
      </c>
      <c r="L20" s="29">
        <f t="shared" si="0"/>
        <v>0.11800923550538737</v>
      </c>
      <c r="M20" s="30">
        <v>0.86</v>
      </c>
      <c r="N20" s="44">
        <v>46281</v>
      </c>
      <c r="O20" s="44">
        <v>46281</v>
      </c>
      <c r="P20" s="44">
        <v>46300</v>
      </c>
      <c r="Q20" s="31">
        <v>46294</v>
      </c>
      <c r="R20" s="32">
        <f t="shared" si="1"/>
        <v>10</v>
      </c>
      <c r="S20" s="33">
        <v>46300</v>
      </c>
      <c r="T20" s="34">
        <f t="shared" si="2"/>
        <v>5</v>
      </c>
      <c r="U20" s="35">
        <v>46301</v>
      </c>
      <c r="V20" s="36">
        <f t="shared" si="3"/>
        <v>2</v>
      </c>
      <c r="W20" s="37">
        <v>46308</v>
      </c>
      <c r="X20" s="38">
        <f t="shared" si="9"/>
        <v>6</v>
      </c>
      <c r="Y20" s="38">
        <f t="shared" si="5"/>
        <v>20</v>
      </c>
      <c r="Z20" s="28" t="str">
        <f t="shared" si="6"/>
        <v>EFICIENTE</v>
      </c>
      <c r="AA20" s="27" t="s">
        <v>38</v>
      </c>
      <c r="AB20" s="42" t="s">
        <v>125</v>
      </c>
      <c r="AC20" s="42">
        <v>15.36</v>
      </c>
      <c r="AD20" s="42">
        <v>6</v>
      </c>
      <c r="AE20" s="42">
        <v>24</v>
      </c>
      <c r="AF20" s="27">
        <f>ROUNDUP((F20*1/(AC20*AD20*M20*AE20)),0)</f>
        <v>2</v>
      </c>
      <c r="AG20" s="42">
        <f>29/24</f>
        <v>1.2083333333333333</v>
      </c>
      <c r="AH20" s="39">
        <f t="shared" si="8"/>
        <v>46302</v>
      </c>
      <c r="AI20" s="42"/>
    </row>
    <row r="21" spans="1:35" x14ac:dyDescent="0.3">
      <c r="A21" s="58" t="s">
        <v>126</v>
      </c>
      <c r="B21" s="42" t="s">
        <v>127</v>
      </c>
      <c r="C21" s="42" t="s">
        <v>71</v>
      </c>
      <c r="D21" s="42" t="s">
        <v>67</v>
      </c>
      <c r="E21" s="42" t="s">
        <v>32</v>
      </c>
      <c r="F21" s="42">
        <v>19000</v>
      </c>
      <c r="G21" s="42"/>
      <c r="H21" s="42"/>
      <c r="I21" s="42"/>
      <c r="J21" s="42"/>
      <c r="K21" s="42"/>
      <c r="L21" s="29" t="e">
        <f t="shared" si="0"/>
        <v>#DIV/0!</v>
      </c>
      <c r="M21" s="30">
        <v>0.56999999999999995</v>
      </c>
      <c r="N21" s="44">
        <v>46246</v>
      </c>
      <c r="O21" s="44">
        <v>46246</v>
      </c>
      <c r="P21" s="44">
        <v>46308</v>
      </c>
      <c r="Q21" s="31"/>
      <c r="R21" s="32" t="str">
        <f t="shared" si="1"/>
        <v/>
      </c>
      <c r="S21" s="33"/>
      <c r="T21" s="34" t="str">
        <f t="shared" si="2"/>
        <v/>
      </c>
      <c r="U21" s="35"/>
      <c r="V21" s="36" t="str">
        <f t="shared" si="3"/>
        <v/>
      </c>
      <c r="W21" s="37"/>
      <c r="X21" s="38" t="str">
        <f t="shared" si="9"/>
        <v/>
      </c>
      <c r="Y21" s="38" t="str">
        <f t="shared" si="5"/>
        <v/>
      </c>
      <c r="Z21" s="28" t="str">
        <f t="shared" si="6"/>
        <v/>
      </c>
      <c r="AA21" s="27" t="s">
        <v>69</v>
      </c>
      <c r="AB21" s="42" t="s">
        <v>70</v>
      </c>
      <c r="AC21" s="42"/>
      <c r="AD21" s="42"/>
      <c r="AE21" s="42"/>
      <c r="AF21" s="27" t="e">
        <f t="shared" si="10"/>
        <v>#DIV/0!</v>
      </c>
      <c r="AG21" s="42"/>
      <c r="AH21" s="39" t="e">
        <f t="shared" si="8"/>
        <v>#DIV/0!</v>
      </c>
      <c r="AI21" s="42"/>
    </row>
    <row r="22" spans="1:35" x14ac:dyDescent="0.3">
      <c r="A22" s="58" t="s">
        <v>131</v>
      </c>
      <c r="B22" s="42" t="s">
        <v>132</v>
      </c>
      <c r="C22" s="42" t="s">
        <v>128</v>
      </c>
      <c r="D22" s="42" t="s">
        <v>31</v>
      </c>
      <c r="E22" s="42" t="s">
        <v>133</v>
      </c>
      <c r="F22" s="42">
        <v>12000</v>
      </c>
      <c r="G22" s="42">
        <v>11322</v>
      </c>
      <c r="H22" s="42"/>
      <c r="I22" s="42"/>
      <c r="J22" s="42"/>
      <c r="K22" s="42"/>
      <c r="L22" s="29">
        <f t="shared" si="0"/>
        <v>0</v>
      </c>
      <c r="M22" s="30">
        <v>0.93</v>
      </c>
      <c r="N22" s="44">
        <v>46296</v>
      </c>
      <c r="O22" s="44">
        <v>46296</v>
      </c>
      <c r="P22" s="44">
        <v>46308</v>
      </c>
      <c r="Q22" s="31">
        <v>46304</v>
      </c>
      <c r="R22" s="32">
        <f>IF(Q22="","",NETWORKDAYS(N22,Q22))</f>
        <v>7</v>
      </c>
      <c r="S22" s="33">
        <v>46309</v>
      </c>
      <c r="T22" s="34">
        <f t="shared" si="2"/>
        <v>4</v>
      </c>
      <c r="U22" s="35">
        <v>46310</v>
      </c>
      <c r="V22" s="36">
        <f t="shared" si="3"/>
        <v>2</v>
      </c>
      <c r="W22" s="37"/>
      <c r="X22" s="38" t="str">
        <f t="shared" si="9"/>
        <v/>
      </c>
      <c r="Y22" s="38" t="str">
        <f t="shared" si="5"/>
        <v/>
      </c>
      <c r="Z22" s="28" t="str">
        <f t="shared" si="6"/>
        <v/>
      </c>
      <c r="AA22" s="27" t="s">
        <v>38</v>
      </c>
      <c r="AB22" s="42" t="s">
        <v>134</v>
      </c>
      <c r="AC22" s="42">
        <v>87.36</v>
      </c>
      <c r="AD22" s="42">
        <v>6</v>
      </c>
      <c r="AE22" s="42">
        <v>24</v>
      </c>
      <c r="AF22" s="27">
        <f t="shared" si="10"/>
        <v>2</v>
      </c>
      <c r="AG22" s="42"/>
      <c r="AH22" s="39">
        <f t="shared" si="8"/>
        <v>46310</v>
      </c>
      <c r="AI22" s="42"/>
    </row>
    <row r="23" spans="1:35" x14ac:dyDescent="0.3">
      <c r="A23" s="58" t="s">
        <v>138</v>
      </c>
      <c r="B23" s="42" t="s">
        <v>139</v>
      </c>
      <c r="C23" s="42" t="s">
        <v>140</v>
      </c>
      <c r="D23" s="42" t="s">
        <v>67</v>
      </c>
      <c r="E23" s="42" t="s">
        <v>52</v>
      </c>
      <c r="F23" s="42">
        <v>1012</v>
      </c>
      <c r="G23" s="42">
        <v>1260</v>
      </c>
      <c r="H23" s="42"/>
      <c r="I23" s="42"/>
      <c r="J23" s="42"/>
      <c r="K23" s="42"/>
      <c r="L23" s="29">
        <f t="shared" si="0"/>
        <v>0</v>
      </c>
      <c r="M23" s="30">
        <v>0.88</v>
      </c>
      <c r="N23" s="44">
        <v>46287</v>
      </c>
      <c r="O23" s="44">
        <v>46288</v>
      </c>
      <c r="P23" s="44">
        <v>46308</v>
      </c>
      <c r="Q23" s="31"/>
      <c r="R23" s="32" t="str">
        <f t="shared" si="1"/>
        <v/>
      </c>
      <c r="S23" s="33"/>
      <c r="T23" s="34" t="str">
        <f t="shared" si="2"/>
        <v/>
      </c>
      <c r="U23" s="35"/>
      <c r="V23" s="36" t="str">
        <f t="shared" si="3"/>
        <v/>
      </c>
      <c r="W23" s="37">
        <v>46308</v>
      </c>
      <c r="X23" s="38">
        <f t="shared" si="9"/>
        <v>33077</v>
      </c>
      <c r="Y23" s="38">
        <f t="shared" si="5"/>
        <v>16</v>
      </c>
      <c r="Z23" s="28" t="str">
        <f t="shared" si="6"/>
        <v>EFICIENTE</v>
      </c>
      <c r="AA23" s="27" t="s">
        <v>38</v>
      </c>
      <c r="AB23" s="42" t="s">
        <v>125</v>
      </c>
      <c r="AC23" s="42">
        <v>11.28</v>
      </c>
      <c r="AD23" s="42">
        <v>2</v>
      </c>
      <c r="AE23" s="42">
        <v>24</v>
      </c>
      <c r="AF23" s="27">
        <f t="shared" si="10"/>
        <v>3</v>
      </c>
      <c r="AG23" s="42"/>
      <c r="AH23" s="39">
        <f t="shared" si="8"/>
        <v>46311</v>
      </c>
      <c r="AI23" s="42"/>
    </row>
    <row r="24" spans="1:35" x14ac:dyDescent="0.3">
      <c r="A24" s="58" t="s">
        <v>142</v>
      </c>
      <c r="B24" s="42" t="s">
        <v>143</v>
      </c>
      <c r="C24" s="42" t="s">
        <v>145</v>
      </c>
      <c r="D24" s="42" t="s">
        <v>67</v>
      </c>
      <c r="E24" s="42" t="s">
        <v>32</v>
      </c>
      <c r="F24" s="42">
        <v>12000</v>
      </c>
      <c r="G24" s="42">
        <v>1758</v>
      </c>
      <c r="H24" s="42"/>
      <c r="I24" s="42"/>
      <c r="J24" s="42"/>
      <c r="K24" s="42"/>
      <c r="L24" s="29">
        <f t="shared" si="0"/>
        <v>0</v>
      </c>
      <c r="M24" s="30">
        <v>0.94</v>
      </c>
      <c r="N24" s="44">
        <v>46287</v>
      </c>
      <c r="O24" s="44">
        <v>46288</v>
      </c>
      <c r="P24" s="44">
        <v>46309</v>
      </c>
      <c r="Q24" s="31"/>
      <c r="R24" s="32" t="str">
        <f t="shared" si="1"/>
        <v/>
      </c>
      <c r="S24" s="33"/>
      <c r="T24" s="34" t="str">
        <f t="shared" si="2"/>
        <v/>
      </c>
      <c r="U24" s="35"/>
      <c r="V24" s="36" t="str">
        <f t="shared" si="3"/>
        <v/>
      </c>
      <c r="W24" s="37"/>
      <c r="X24" s="38" t="str">
        <f t="shared" si="9"/>
        <v/>
      </c>
      <c r="Y24" s="38" t="str">
        <f t="shared" si="5"/>
        <v/>
      </c>
      <c r="Z24" s="28" t="str">
        <f t="shared" si="6"/>
        <v/>
      </c>
      <c r="AA24" s="27" t="s">
        <v>69</v>
      </c>
      <c r="AB24" s="42" t="s">
        <v>144</v>
      </c>
      <c r="AC24" s="42">
        <v>12.96</v>
      </c>
      <c r="AD24" s="42">
        <v>6</v>
      </c>
      <c r="AE24" s="42">
        <v>24</v>
      </c>
      <c r="AF24" s="27">
        <f t="shared" si="10"/>
        <v>7</v>
      </c>
      <c r="AG24" s="42"/>
      <c r="AH24" s="39">
        <f>WORKDAY.INTL(P24,AF24,1,0)</f>
        <v>46318</v>
      </c>
      <c r="AI24" s="42"/>
    </row>
    <row r="25" spans="1:35" x14ac:dyDescent="0.3">
      <c r="A25" s="58" t="s">
        <v>146</v>
      </c>
      <c r="B25" s="42" t="s">
        <v>147</v>
      </c>
      <c r="C25" s="42" t="s">
        <v>74</v>
      </c>
      <c r="D25" s="42" t="s">
        <v>67</v>
      </c>
      <c r="E25" s="42" t="s">
        <v>49</v>
      </c>
      <c r="F25" s="42">
        <v>2760</v>
      </c>
      <c r="G25" s="42"/>
      <c r="H25" s="42"/>
      <c r="I25" s="42"/>
      <c r="J25" s="42"/>
      <c r="K25" s="42"/>
      <c r="L25" s="29" t="e">
        <f t="shared" si="0"/>
        <v>#DIV/0!</v>
      </c>
      <c r="M25" s="30">
        <v>1</v>
      </c>
      <c r="N25" s="44">
        <v>46276</v>
      </c>
      <c r="O25" s="44">
        <v>46276</v>
      </c>
      <c r="P25" s="44">
        <v>46310</v>
      </c>
      <c r="Q25" s="31"/>
      <c r="R25" s="32" t="str">
        <f t="shared" si="1"/>
        <v/>
      </c>
      <c r="S25" s="33"/>
      <c r="T25" s="34" t="str">
        <f t="shared" si="2"/>
        <v/>
      </c>
      <c r="U25" s="35"/>
      <c r="V25" s="36" t="str">
        <f t="shared" si="3"/>
        <v/>
      </c>
      <c r="W25" s="37"/>
      <c r="X25" s="38" t="str">
        <f t="shared" si="9"/>
        <v/>
      </c>
      <c r="Y25" s="38" t="str">
        <f t="shared" si="5"/>
        <v/>
      </c>
      <c r="Z25" s="28" t="str">
        <f t="shared" si="6"/>
        <v/>
      </c>
      <c r="AA25" s="27" t="s">
        <v>38</v>
      </c>
      <c r="AB25" s="42" t="s">
        <v>148</v>
      </c>
      <c r="AC25" s="42">
        <v>17.64</v>
      </c>
      <c r="AD25" s="42">
        <v>6</v>
      </c>
      <c r="AE25" s="42">
        <v>24</v>
      </c>
      <c r="AF25" s="27">
        <f>ROUNDUP((F25*1/(AC25*AD25*M25*AE25)),0)</f>
        <v>2</v>
      </c>
      <c r="AG25" s="42"/>
      <c r="AH25" s="39">
        <f>WORKDAY.INTL(P25,AF25,1,0)</f>
        <v>46314</v>
      </c>
      <c r="AI25" s="42"/>
    </row>
    <row r="26" spans="1:35" x14ac:dyDescent="0.3">
      <c r="A26" s="58" t="s">
        <v>149</v>
      </c>
      <c r="B26" s="42" t="s">
        <v>150</v>
      </c>
      <c r="C26" s="42" t="s">
        <v>151</v>
      </c>
      <c r="D26" s="42" t="s">
        <v>67</v>
      </c>
      <c r="E26" s="42" t="s">
        <v>33</v>
      </c>
      <c r="F26" s="42">
        <f>2024+2024</f>
        <v>4048</v>
      </c>
      <c r="G26" s="42">
        <v>344</v>
      </c>
      <c r="H26" s="42"/>
      <c r="I26" s="42"/>
      <c r="J26" s="42"/>
      <c r="K26" s="42"/>
      <c r="L26" s="29">
        <f t="shared" si="0"/>
        <v>0</v>
      </c>
      <c r="M26" s="30">
        <v>0.4</v>
      </c>
      <c r="N26" s="44">
        <v>46287</v>
      </c>
      <c r="O26" s="44">
        <v>46288</v>
      </c>
      <c r="P26" s="44">
        <v>46309</v>
      </c>
      <c r="Q26" s="31"/>
      <c r="R26" s="32" t="str">
        <f t="shared" si="1"/>
        <v/>
      </c>
      <c r="S26" s="33"/>
      <c r="T26" s="34" t="str">
        <f t="shared" si="2"/>
        <v/>
      </c>
      <c r="U26" s="35"/>
      <c r="V26" s="36" t="str">
        <f t="shared" si="3"/>
        <v/>
      </c>
      <c r="W26" s="37"/>
      <c r="X26" s="38" t="str">
        <f t="shared" si="9"/>
        <v/>
      </c>
      <c r="Y26" s="38" t="str">
        <f t="shared" si="5"/>
        <v/>
      </c>
      <c r="Z26" s="28" t="str">
        <f t="shared" si="6"/>
        <v/>
      </c>
      <c r="AA26" s="27" t="s">
        <v>69</v>
      </c>
      <c r="AB26" s="42" t="s">
        <v>125</v>
      </c>
      <c r="AC26" s="42">
        <v>18.12</v>
      </c>
      <c r="AD26" s="42">
        <v>2</v>
      </c>
      <c r="AE26" s="42"/>
      <c r="AF26" s="27" t="e">
        <f t="shared" si="10"/>
        <v>#DIV/0!</v>
      </c>
      <c r="AG26" s="42"/>
      <c r="AH26" s="39" t="e">
        <f t="shared" ref="AH26:AH36" si="11">WORKDAY.INTL(P26,AF26,1,0)</f>
        <v>#DIV/0!</v>
      </c>
      <c r="AI26" s="42" t="s">
        <v>152</v>
      </c>
    </row>
    <row r="27" spans="1:35" x14ac:dyDescent="0.3">
      <c r="A27" s="61" t="s">
        <v>156</v>
      </c>
      <c r="B27" s="42" t="s">
        <v>157</v>
      </c>
      <c r="C27" s="42" t="s">
        <v>87</v>
      </c>
      <c r="D27" s="42" t="s">
        <v>31</v>
      </c>
      <c r="E27" s="42" t="s">
        <v>33</v>
      </c>
      <c r="F27" s="42">
        <v>3000</v>
      </c>
      <c r="G27" s="42"/>
      <c r="H27" s="42"/>
      <c r="I27" s="42"/>
      <c r="J27" s="42"/>
      <c r="K27" s="42"/>
      <c r="L27" s="29" t="e">
        <f t="shared" si="0"/>
        <v>#DIV/0!</v>
      </c>
      <c r="M27" s="30">
        <v>0.7</v>
      </c>
      <c r="N27" s="44">
        <v>46296</v>
      </c>
      <c r="O27" s="44">
        <v>46296</v>
      </c>
      <c r="P27" s="44">
        <v>46315</v>
      </c>
      <c r="Q27" s="31">
        <v>46313</v>
      </c>
      <c r="R27" s="32">
        <f t="shared" si="1"/>
        <v>12</v>
      </c>
      <c r="S27" s="33">
        <v>46317</v>
      </c>
      <c r="T27" s="34">
        <f>IF(S27="","",NETWORKDAYS(Q27,S27))</f>
        <v>4</v>
      </c>
      <c r="U27" s="35"/>
      <c r="V27" s="36" t="str">
        <f t="shared" si="3"/>
        <v/>
      </c>
      <c r="W27" s="37"/>
      <c r="X27" s="38" t="str">
        <f t="shared" si="9"/>
        <v/>
      </c>
      <c r="Y27" s="38" t="str">
        <f t="shared" si="5"/>
        <v/>
      </c>
      <c r="Z27" s="28" t="str">
        <f t="shared" si="6"/>
        <v/>
      </c>
      <c r="AA27" s="27" t="s">
        <v>38</v>
      </c>
      <c r="AB27" s="42" t="s">
        <v>158</v>
      </c>
      <c r="AC27" s="42">
        <v>27</v>
      </c>
      <c r="AD27" s="42">
        <v>4</v>
      </c>
      <c r="AE27" s="42">
        <v>24</v>
      </c>
      <c r="AF27" s="27">
        <f t="shared" si="10"/>
        <v>2</v>
      </c>
      <c r="AG27" s="42"/>
      <c r="AH27" s="39">
        <f t="shared" si="11"/>
        <v>46317</v>
      </c>
      <c r="AI27" s="42"/>
    </row>
    <row r="28" spans="1:35" x14ac:dyDescent="0.3">
      <c r="A28" s="42" t="s">
        <v>73</v>
      </c>
      <c r="B28" s="42" t="s">
        <v>159</v>
      </c>
      <c r="C28" s="42" t="s">
        <v>74</v>
      </c>
      <c r="D28" s="42" t="s">
        <v>67</v>
      </c>
      <c r="E28" s="42" t="s">
        <v>160</v>
      </c>
      <c r="F28" s="42">
        <v>1840</v>
      </c>
      <c r="G28" s="42">
        <v>1848</v>
      </c>
      <c r="H28" s="42">
        <v>1848</v>
      </c>
      <c r="I28" s="42"/>
      <c r="J28" s="42">
        <v>80</v>
      </c>
      <c r="K28" s="42">
        <v>0.56000000000000005</v>
      </c>
      <c r="L28" s="29">
        <f t="shared" si="0"/>
        <v>4.3290043290043288E-2</v>
      </c>
      <c r="M28" s="30">
        <v>0.77</v>
      </c>
      <c r="N28" s="44">
        <v>46276</v>
      </c>
      <c r="O28" s="44">
        <v>46276</v>
      </c>
      <c r="P28" s="44">
        <v>46300</v>
      </c>
      <c r="Q28" s="31">
        <v>46287</v>
      </c>
      <c r="R28" s="32">
        <f t="shared" si="1"/>
        <v>8</v>
      </c>
      <c r="S28" s="33">
        <v>46301</v>
      </c>
      <c r="T28" s="34">
        <f t="shared" si="2"/>
        <v>11</v>
      </c>
      <c r="U28" s="35">
        <v>46308</v>
      </c>
      <c r="V28" s="36">
        <f t="shared" si="3"/>
        <v>6</v>
      </c>
      <c r="W28" s="37">
        <v>46302</v>
      </c>
      <c r="X28" s="38">
        <f t="shared" si="9"/>
        <v>-5</v>
      </c>
      <c r="Y28" s="38">
        <f t="shared" si="5"/>
        <v>19</v>
      </c>
      <c r="Z28" s="28" t="str">
        <f t="shared" si="6"/>
        <v>EFICIENTE</v>
      </c>
      <c r="AA28" s="27" t="s">
        <v>38</v>
      </c>
      <c r="AB28" s="42" t="s">
        <v>53</v>
      </c>
      <c r="AC28" s="42">
        <v>19.559999999999999</v>
      </c>
      <c r="AD28" s="42">
        <v>4</v>
      </c>
      <c r="AE28" s="42">
        <v>10</v>
      </c>
      <c r="AF28" s="27">
        <f t="shared" si="10"/>
        <v>4</v>
      </c>
      <c r="AG28" s="42">
        <f>36/10</f>
        <v>3.6</v>
      </c>
      <c r="AH28" s="39">
        <f t="shared" si="11"/>
        <v>46304</v>
      </c>
      <c r="AI28" s="42"/>
    </row>
    <row r="29" spans="1:35" x14ac:dyDescent="0.3">
      <c r="A29" s="42" t="s">
        <v>163</v>
      </c>
      <c r="B29" s="42" t="s">
        <v>164</v>
      </c>
      <c r="C29" s="42" t="s">
        <v>151</v>
      </c>
      <c r="D29" s="42" t="s">
        <v>31</v>
      </c>
      <c r="E29" s="42" t="s">
        <v>35</v>
      </c>
      <c r="F29" s="42">
        <v>3000</v>
      </c>
      <c r="G29" s="42"/>
      <c r="H29" s="42"/>
      <c r="I29" s="42"/>
      <c r="J29" s="42"/>
      <c r="K29" s="42"/>
      <c r="L29" s="29" t="e">
        <f t="shared" si="0"/>
        <v>#DIV/0!</v>
      </c>
      <c r="M29" s="30">
        <v>0.7</v>
      </c>
      <c r="N29" s="44">
        <v>46281</v>
      </c>
      <c r="O29" s="44">
        <v>46281</v>
      </c>
      <c r="P29" s="44">
        <v>46314</v>
      </c>
      <c r="Q29" s="31">
        <v>46308</v>
      </c>
      <c r="R29" s="32">
        <f t="shared" si="1"/>
        <v>20</v>
      </c>
      <c r="S29" s="33">
        <v>46316</v>
      </c>
      <c r="T29" s="34">
        <f t="shared" si="2"/>
        <v>7</v>
      </c>
      <c r="U29" s="35">
        <v>46317</v>
      </c>
      <c r="V29" s="36">
        <f t="shared" si="3"/>
        <v>2</v>
      </c>
      <c r="W29" s="37"/>
      <c r="X29" s="38" t="str">
        <f t="shared" si="9"/>
        <v/>
      </c>
      <c r="Y29" s="38"/>
      <c r="Z29" s="28"/>
      <c r="AA29" s="27" t="s">
        <v>38</v>
      </c>
      <c r="AB29" s="42" t="s">
        <v>110</v>
      </c>
      <c r="AC29" s="42">
        <v>32.4</v>
      </c>
      <c r="AD29" s="42">
        <v>3</v>
      </c>
      <c r="AE29" s="42">
        <v>24</v>
      </c>
      <c r="AF29" s="27">
        <f t="shared" si="10"/>
        <v>2</v>
      </c>
      <c r="AG29" s="42"/>
      <c r="AH29" s="39">
        <f t="shared" si="11"/>
        <v>46316</v>
      </c>
      <c r="AI29" s="42" t="s">
        <v>165</v>
      </c>
    </row>
    <row r="30" spans="1:35" x14ac:dyDescent="0.3">
      <c r="A30" s="42" t="s">
        <v>166</v>
      </c>
      <c r="B30" s="42" t="s">
        <v>167</v>
      </c>
      <c r="C30" s="42" t="s">
        <v>117</v>
      </c>
      <c r="D30" s="42" t="s">
        <v>31</v>
      </c>
      <c r="E30" s="42" t="s">
        <v>168</v>
      </c>
      <c r="F30" s="42">
        <v>3000</v>
      </c>
      <c r="G30" s="42"/>
      <c r="H30" s="42"/>
      <c r="I30" s="42"/>
      <c r="J30" s="42"/>
      <c r="K30" s="42"/>
      <c r="L30" s="29" t="e">
        <f t="shared" si="0"/>
        <v>#DIV/0!</v>
      </c>
      <c r="M30" s="30">
        <v>0.36</v>
      </c>
      <c r="N30" s="44">
        <v>46276</v>
      </c>
      <c r="O30" s="44">
        <v>46276</v>
      </c>
      <c r="P30" s="44">
        <v>46311</v>
      </c>
      <c r="Q30" s="31"/>
      <c r="R30" s="32" t="str">
        <f t="shared" si="1"/>
        <v/>
      </c>
      <c r="S30" s="33"/>
      <c r="T30" s="34" t="str">
        <f t="shared" si="2"/>
        <v/>
      </c>
      <c r="U30" s="35"/>
      <c r="V30" s="36" t="str">
        <f t="shared" si="3"/>
        <v/>
      </c>
      <c r="W30" s="37"/>
      <c r="X30" s="38" t="str">
        <f t="shared" si="9"/>
        <v/>
      </c>
      <c r="Y30" s="38"/>
      <c r="Z30" s="28"/>
      <c r="AA30" s="27" t="s">
        <v>69</v>
      </c>
      <c r="AB30" s="42" t="s">
        <v>53</v>
      </c>
      <c r="AC30" s="42">
        <v>49.44</v>
      </c>
      <c r="AD30" s="42">
        <v>4</v>
      </c>
      <c r="AE30" s="42">
        <v>24</v>
      </c>
      <c r="AF30" s="27">
        <f t="shared" si="10"/>
        <v>2</v>
      </c>
      <c r="AG30" s="42"/>
      <c r="AH30" s="39">
        <f t="shared" si="11"/>
        <v>46315</v>
      </c>
      <c r="AI30" s="42"/>
    </row>
    <row r="31" spans="1:35" x14ac:dyDescent="0.3">
      <c r="A31" s="42" t="s">
        <v>169</v>
      </c>
      <c r="B31" s="42" t="s">
        <v>170</v>
      </c>
      <c r="C31" s="42" t="s">
        <v>123</v>
      </c>
      <c r="D31" s="42" t="s">
        <v>67</v>
      </c>
      <c r="E31" s="42" t="s">
        <v>32</v>
      </c>
      <c r="F31" s="42">
        <v>7000</v>
      </c>
      <c r="G31" s="42"/>
      <c r="H31" s="42"/>
      <c r="I31" s="42"/>
      <c r="J31" s="42"/>
      <c r="K31" s="42"/>
      <c r="L31" s="29" t="e">
        <f t="shared" si="0"/>
        <v>#DIV/0!</v>
      </c>
      <c r="M31" s="30">
        <v>0.78</v>
      </c>
      <c r="N31" s="44">
        <v>46287</v>
      </c>
      <c r="O31" s="44">
        <v>46288</v>
      </c>
      <c r="P31" s="44">
        <v>46310</v>
      </c>
      <c r="Q31" s="31"/>
      <c r="R31" s="32" t="str">
        <f t="shared" si="1"/>
        <v/>
      </c>
      <c r="S31" s="33"/>
      <c r="T31" s="34" t="str">
        <f t="shared" si="2"/>
        <v/>
      </c>
      <c r="U31" s="35"/>
      <c r="V31" s="36" t="str">
        <f t="shared" si="3"/>
        <v/>
      </c>
      <c r="W31" s="37"/>
      <c r="X31" s="38" t="str">
        <f t="shared" si="9"/>
        <v/>
      </c>
      <c r="Y31" s="38"/>
      <c r="Z31" s="28"/>
      <c r="AA31" s="27" t="s">
        <v>69</v>
      </c>
      <c r="AB31" s="42" t="s">
        <v>125</v>
      </c>
      <c r="AC31" s="42">
        <v>15.36</v>
      </c>
      <c r="AD31" s="42">
        <v>6</v>
      </c>
      <c r="AE31" s="42">
        <v>24</v>
      </c>
      <c r="AF31" s="27">
        <f t="shared" si="10"/>
        <v>5</v>
      </c>
      <c r="AG31" s="42"/>
      <c r="AH31" s="39">
        <f t="shared" si="11"/>
        <v>46317</v>
      </c>
      <c r="AI31" s="42"/>
    </row>
    <row r="32" spans="1:35" x14ac:dyDescent="0.3">
      <c r="A32" s="42" t="s">
        <v>338</v>
      </c>
      <c r="B32" s="42" t="s">
        <v>235</v>
      </c>
      <c r="C32" s="42" t="s">
        <v>379</v>
      </c>
      <c r="D32" s="42" t="s">
        <v>99</v>
      </c>
      <c r="E32" s="42" t="s">
        <v>35</v>
      </c>
      <c r="F32" s="42">
        <v>72000</v>
      </c>
      <c r="G32" s="42"/>
      <c r="H32" s="42"/>
      <c r="I32" s="42"/>
      <c r="J32" s="42"/>
      <c r="K32" s="42"/>
      <c r="L32" s="29"/>
      <c r="M32" s="30">
        <v>0.68</v>
      </c>
      <c r="N32" s="44">
        <v>46303</v>
      </c>
      <c r="O32" s="44">
        <v>46303</v>
      </c>
      <c r="P32" s="44">
        <v>46317</v>
      </c>
      <c r="Q32" s="31"/>
      <c r="R32" s="32" t="str">
        <f t="shared" si="1"/>
        <v/>
      </c>
      <c r="S32" s="33"/>
      <c r="T32" s="34" t="str">
        <f t="shared" si="2"/>
        <v/>
      </c>
      <c r="U32" s="35"/>
      <c r="V32" s="36" t="str">
        <f t="shared" si="3"/>
        <v/>
      </c>
      <c r="W32" s="37"/>
      <c r="X32" s="38" t="str">
        <f t="shared" si="9"/>
        <v/>
      </c>
      <c r="Y32" s="38"/>
      <c r="Z32" s="28"/>
      <c r="AA32" s="27" t="s">
        <v>69</v>
      </c>
      <c r="AB32" s="42" t="s">
        <v>380</v>
      </c>
      <c r="AC32" s="42">
        <v>63.48</v>
      </c>
      <c r="AD32" s="42">
        <v>12</v>
      </c>
      <c r="AE32" s="42">
        <v>24</v>
      </c>
      <c r="AF32" s="27">
        <f t="shared" si="10"/>
        <v>6</v>
      </c>
      <c r="AG32" s="42"/>
      <c r="AH32" s="39">
        <f t="shared" si="11"/>
        <v>46325</v>
      </c>
      <c r="AI32" s="42"/>
    </row>
    <row r="33" spans="1:35" x14ac:dyDescent="0.3">
      <c r="A33" s="42" t="s">
        <v>302</v>
      </c>
      <c r="B33" s="42" t="s">
        <v>381</v>
      </c>
      <c r="C33" s="42" t="s">
        <v>382</v>
      </c>
      <c r="D33" s="42" t="s">
        <v>31</v>
      </c>
      <c r="E33" s="42" t="s">
        <v>32</v>
      </c>
      <c r="F33" s="42">
        <v>6000</v>
      </c>
      <c r="G33" s="42"/>
      <c r="H33" s="42"/>
      <c r="I33" s="42"/>
      <c r="J33" s="42"/>
      <c r="K33" s="42"/>
      <c r="L33" s="29"/>
      <c r="M33" s="30">
        <v>0.7</v>
      </c>
      <c r="N33" s="44">
        <v>46294</v>
      </c>
      <c r="O33" s="44">
        <v>46294</v>
      </c>
      <c r="P33" s="44">
        <v>46315</v>
      </c>
      <c r="Q33" s="31"/>
      <c r="R33" s="32" t="str">
        <f t="shared" si="1"/>
        <v/>
      </c>
      <c r="S33" s="33"/>
      <c r="T33" s="34" t="str">
        <f t="shared" si="2"/>
        <v/>
      </c>
      <c r="U33" s="35"/>
      <c r="V33" s="36" t="str">
        <f t="shared" si="3"/>
        <v/>
      </c>
      <c r="W33" s="37"/>
      <c r="X33" s="38" t="str">
        <f t="shared" si="9"/>
        <v/>
      </c>
      <c r="Y33" s="38"/>
      <c r="Z33" s="28"/>
      <c r="AA33" s="27" t="s">
        <v>69</v>
      </c>
      <c r="AB33" s="42" t="s">
        <v>383</v>
      </c>
      <c r="AC33" s="42">
        <v>46.32</v>
      </c>
      <c r="AD33" s="42">
        <v>3</v>
      </c>
      <c r="AE33" s="42">
        <v>10</v>
      </c>
      <c r="AF33" s="27">
        <f t="shared" si="10"/>
        <v>7</v>
      </c>
      <c r="AG33" s="42"/>
      <c r="AH33" s="39">
        <f t="shared" si="11"/>
        <v>46324</v>
      </c>
      <c r="AI33" s="42"/>
    </row>
    <row r="34" spans="1:35" x14ac:dyDescent="0.3">
      <c r="A34" s="42" t="s">
        <v>384</v>
      </c>
      <c r="B34" s="42" t="s">
        <v>385</v>
      </c>
      <c r="C34" s="42" t="s">
        <v>37</v>
      </c>
      <c r="D34" s="42" t="s">
        <v>31</v>
      </c>
      <c r="E34" s="42" t="s">
        <v>386</v>
      </c>
      <c r="F34" s="42">
        <v>6000</v>
      </c>
      <c r="G34" s="42"/>
      <c r="H34" s="42"/>
      <c r="I34" s="42"/>
      <c r="J34" s="42"/>
      <c r="K34" s="42"/>
      <c r="L34" s="29"/>
      <c r="M34" s="30">
        <v>0.7</v>
      </c>
      <c r="N34" s="44">
        <v>46276</v>
      </c>
      <c r="O34" s="44">
        <v>46276</v>
      </c>
      <c r="P34" s="44">
        <v>46314</v>
      </c>
      <c r="Q34" s="31">
        <v>46313</v>
      </c>
      <c r="R34" s="32">
        <f t="shared" si="1"/>
        <v>26</v>
      </c>
      <c r="S34" s="33">
        <v>46316</v>
      </c>
      <c r="T34" s="34">
        <f t="shared" si="2"/>
        <v>3</v>
      </c>
      <c r="U34" s="35">
        <v>46317</v>
      </c>
      <c r="V34" s="36">
        <f t="shared" si="3"/>
        <v>2</v>
      </c>
      <c r="W34" s="37"/>
      <c r="X34" s="38" t="str">
        <f t="shared" si="9"/>
        <v/>
      </c>
      <c r="Y34" s="38"/>
      <c r="Z34" s="28"/>
      <c r="AA34" s="27" t="s">
        <v>38</v>
      </c>
      <c r="AB34" s="42" t="s">
        <v>387</v>
      </c>
      <c r="AC34" s="42">
        <v>90</v>
      </c>
      <c r="AD34" s="42">
        <v>6</v>
      </c>
      <c r="AE34" s="42">
        <v>10</v>
      </c>
      <c r="AF34" s="27">
        <f t="shared" si="10"/>
        <v>2</v>
      </c>
      <c r="AG34" s="42"/>
      <c r="AH34" s="39">
        <f t="shared" si="11"/>
        <v>46316</v>
      </c>
      <c r="AI34" s="42"/>
    </row>
    <row r="35" spans="1:35" x14ac:dyDescent="0.3">
      <c r="A35" s="42" t="s">
        <v>388</v>
      </c>
      <c r="B35" s="42" t="s">
        <v>389</v>
      </c>
      <c r="C35" s="42" t="s">
        <v>55</v>
      </c>
      <c r="D35" s="42" t="s">
        <v>67</v>
      </c>
      <c r="E35" s="42" t="s">
        <v>36</v>
      </c>
      <c r="F35" s="42">
        <f>2760+920</f>
        <v>3680</v>
      </c>
      <c r="G35" s="42"/>
      <c r="H35" s="42"/>
      <c r="I35" s="42"/>
      <c r="J35" s="42"/>
      <c r="K35" s="42"/>
      <c r="L35" s="29"/>
      <c r="M35" s="30"/>
      <c r="N35" s="44">
        <v>46324</v>
      </c>
      <c r="O35" s="44">
        <v>46300</v>
      </c>
      <c r="P35" s="44"/>
      <c r="Q35" s="31"/>
      <c r="R35" s="32" t="str">
        <f t="shared" si="1"/>
        <v/>
      </c>
      <c r="S35" s="33"/>
      <c r="T35" s="34" t="str">
        <f t="shared" si="2"/>
        <v/>
      </c>
      <c r="U35" s="35"/>
      <c r="V35" s="36" t="str">
        <f t="shared" si="3"/>
        <v/>
      </c>
      <c r="W35" s="37"/>
      <c r="X35" s="38" t="str">
        <f t="shared" si="9"/>
        <v/>
      </c>
      <c r="Y35" s="38"/>
      <c r="Z35" s="28"/>
      <c r="AA35" s="27" t="s">
        <v>390</v>
      </c>
      <c r="AB35" s="42" t="s">
        <v>391</v>
      </c>
      <c r="AC35" s="42"/>
      <c r="AD35" s="42"/>
      <c r="AE35" s="42"/>
      <c r="AF35" s="27"/>
      <c r="AG35" s="42"/>
      <c r="AH35" s="39">
        <f t="shared" si="11"/>
        <v>0</v>
      </c>
      <c r="AI35" s="42"/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29" t="e">
        <f t="shared" si="0"/>
        <v>#DIV/0!</v>
      </c>
      <c r="M36" s="30"/>
      <c r="N36" s="44"/>
      <c r="O36" s="44"/>
      <c r="P36" s="44"/>
      <c r="Q36" s="31"/>
      <c r="R36" s="32" t="str">
        <f t="shared" si="1"/>
        <v/>
      </c>
      <c r="S36" s="33"/>
      <c r="T36" s="34" t="str">
        <f t="shared" si="2"/>
        <v/>
      </c>
      <c r="U36" s="35"/>
      <c r="V36" s="36" t="str">
        <f t="shared" si="3"/>
        <v/>
      </c>
      <c r="W36" s="37"/>
      <c r="X36" s="38" t="str">
        <f t="shared" si="9"/>
        <v/>
      </c>
      <c r="Y36" s="38" t="str">
        <f t="shared" si="5"/>
        <v/>
      </c>
      <c r="Z36" s="28" t="str">
        <f t="shared" si="6"/>
        <v/>
      </c>
      <c r="AA36" s="27"/>
      <c r="AB36" s="42"/>
      <c r="AC36" s="42"/>
      <c r="AD36" s="42"/>
      <c r="AE36" s="42"/>
      <c r="AF36" s="27" t="e">
        <f t="shared" si="10"/>
        <v>#DIV/0!</v>
      </c>
      <c r="AG36" s="42"/>
      <c r="AH36" s="39" t="e">
        <f t="shared" si="11"/>
        <v>#DIV/0!</v>
      </c>
      <c r="AI36" s="42"/>
    </row>
    <row r="37" spans="1:35" ht="25.5" customHeight="1" x14ac:dyDescent="0.45">
      <c r="A37" s="116" t="s">
        <v>39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8"/>
    </row>
    <row r="38" spans="1:35" x14ac:dyDescent="0.3">
      <c r="A38" s="42" t="s">
        <v>335</v>
      </c>
      <c r="B38" s="42" t="s">
        <v>376</v>
      </c>
      <c r="C38" s="42"/>
      <c r="D38" s="42" t="s">
        <v>67</v>
      </c>
      <c r="E38" s="42" t="s">
        <v>32</v>
      </c>
      <c r="F38" s="42"/>
      <c r="G38" s="42"/>
      <c r="H38" s="42"/>
      <c r="I38" s="42"/>
      <c r="J38" s="42"/>
      <c r="K38" s="42"/>
      <c r="L38" s="29" t="e">
        <f>+J38/G38</f>
        <v>#DIV/0!</v>
      </c>
      <c r="M38" s="30">
        <v>0.7</v>
      </c>
      <c r="N38" s="44">
        <v>46273</v>
      </c>
      <c r="O38" s="44">
        <v>46273</v>
      </c>
      <c r="P38" s="44">
        <v>46317</v>
      </c>
      <c r="Q38" s="31"/>
      <c r="R38" s="32" t="str">
        <f>IF(Q38="","",NETWORKDAYS(N38,Q38))</f>
        <v/>
      </c>
      <c r="S38" s="33"/>
      <c r="T38" s="34" t="str">
        <f>IF(S38="","",NETWORKDAYS(Q38,S38))</f>
        <v/>
      </c>
      <c r="U38" s="35"/>
      <c r="V38" s="36" t="str">
        <f>IF(U38="","",NETWORKDAYS(S38,U38))</f>
        <v/>
      </c>
      <c r="W38" s="37"/>
      <c r="X38" s="38" t="str">
        <f>IF(W38="","",NETWORKDAYS(U38,W38))</f>
        <v/>
      </c>
      <c r="Y38" s="38"/>
      <c r="Z38" s="28"/>
      <c r="AA38" s="27" t="s">
        <v>69</v>
      </c>
      <c r="AB38" s="42" t="s">
        <v>377</v>
      </c>
      <c r="AC38" s="42">
        <v>13.56</v>
      </c>
      <c r="AD38" s="42">
        <v>6</v>
      </c>
      <c r="AE38" s="42">
        <v>24</v>
      </c>
      <c r="AF38" s="27">
        <f>ROUNDUP((F38*1/(AC38*AD38*M38*AE38)),0)</f>
        <v>0</v>
      </c>
      <c r="AG38" s="42"/>
      <c r="AH38" s="39">
        <f>WORKDAY.INTL(P38,AF38,1,0)</f>
        <v>46317</v>
      </c>
      <c r="AI38" s="42"/>
    </row>
    <row r="39" spans="1:35" x14ac:dyDescent="0.3">
      <c r="A39" s="99" t="s">
        <v>378</v>
      </c>
      <c r="B39" s="99" t="s">
        <v>223</v>
      </c>
      <c r="C39" s="99" t="s">
        <v>106</v>
      </c>
      <c r="D39" s="99" t="s">
        <v>67</v>
      </c>
      <c r="E39" s="99" t="s">
        <v>33</v>
      </c>
      <c r="F39" s="99">
        <v>2070</v>
      </c>
      <c r="M39" s="30">
        <v>0.78</v>
      </c>
      <c r="N39" s="40">
        <v>46294</v>
      </c>
      <c r="O39" s="40">
        <v>46294</v>
      </c>
      <c r="P39" s="40">
        <v>46317</v>
      </c>
      <c r="Q39" s="31"/>
      <c r="R39" s="32" t="str">
        <f>IF(Q39="","",NETWORKDAYS(N39,Q39))</f>
        <v/>
      </c>
      <c r="S39" s="33"/>
      <c r="T39" s="34" t="str">
        <f>IF(S39="","",NETWORKDAYS(Q39,S39))</f>
        <v/>
      </c>
      <c r="U39" s="35"/>
      <c r="V39" s="36" t="str">
        <f>IF(U39="","",NETWORKDAYS(S39,U39))</f>
        <v/>
      </c>
      <c r="W39" s="37"/>
      <c r="X39" s="38" t="str">
        <f>IF(W39="","",NETWORKDAYS(U39,W39))</f>
        <v/>
      </c>
      <c r="Y39" s="38"/>
      <c r="AA39" s="100" t="s">
        <v>69</v>
      </c>
      <c r="AB39" t="s">
        <v>377</v>
      </c>
      <c r="AC39">
        <v>34.08</v>
      </c>
      <c r="AD39">
        <v>4</v>
      </c>
      <c r="AE39">
        <v>24</v>
      </c>
      <c r="AF39" s="27">
        <f>ROUNDUP((F39*1/(AC39*AD39*M39*AE39)),0)</f>
        <v>1</v>
      </c>
      <c r="AH39" s="39">
        <f>WORKDAY.INTL(P39,AF39,1,0)</f>
        <v>46318</v>
      </c>
    </row>
    <row r="40" spans="1:35" x14ac:dyDescent="0.3">
      <c r="A40" s="42" t="s">
        <v>293</v>
      </c>
      <c r="B40" s="42" t="s">
        <v>295</v>
      </c>
      <c r="C40" s="42" t="s">
        <v>74</v>
      </c>
      <c r="D40" s="42" t="s">
        <v>99</v>
      </c>
      <c r="E40" s="42" t="s">
        <v>33</v>
      </c>
      <c r="F40" s="42">
        <v>7000</v>
      </c>
      <c r="G40" s="42"/>
      <c r="H40" s="42"/>
      <c r="I40" s="42"/>
      <c r="J40" s="42"/>
      <c r="K40" s="42"/>
      <c r="L40" s="29" t="e">
        <f>+J40/G40</f>
        <v>#DIV/0!</v>
      </c>
      <c r="M40" s="30">
        <v>0.8</v>
      </c>
      <c r="N40" s="44">
        <v>46300</v>
      </c>
      <c r="O40" s="44">
        <v>46300</v>
      </c>
      <c r="P40" s="44">
        <v>46316</v>
      </c>
      <c r="Q40" s="31"/>
      <c r="R40" s="32" t="str">
        <f>IF(Q40="","",NETWORKDAYS(N40,Q40))</f>
        <v/>
      </c>
      <c r="S40" s="33"/>
      <c r="T40" s="34" t="str">
        <f>IF(S40="","",NETWORKDAYS(Q40,S40))</f>
        <v/>
      </c>
      <c r="U40" s="35"/>
      <c r="V40" s="36" t="str">
        <f>IF(U40="","",NETWORKDAYS(S40,U40))</f>
        <v/>
      </c>
      <c r="W40" s="37"/>
      <c r="X40" s="38" t="str">
        <f>IF(W40="","",NETWORKDAYS(U40,W40))</f>
        <v/>
      </c>
      <c r="Y40" s="38"/>
      <c r="Z40" s="28"/>
      <c r="AA40" s="27" t="s">
        <v>69</v>
      </c>
      <c r="AB40" s="42" t="s">
        <v>377</v>
      </c>
      <c r="AC40" s="42">
        <v>95.4</v>
      </c>
      <c r="AD40" s="42">
        <v>6</v>
      </c>
      <c r="AE40" s="42">
        <v>24</v>
      </c>
      <c r="AF40" s="27">
        <f>ROUNDUP((F40*1/(AC40*AD40*M40*AE40)),0)</f>
        <v>1</v>
      </c>
      <c r="AG40" s="42"/>
      <c r="AH40" s="39">
        <f>WORKDAY.INTL(P40,AF40,1,0)</f>
        <v>46317</v>
      </c>
      <c r="AI40" s="42"/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29" t="e">
        <f t="shared" si="0"/>
        <v>#DIV/0!</v>
      </c>
      <c r="M41" s="30"/>
      <c r="N41" s="44"/>
      <c r="O41" s="44"/>
      <c r="P41" s="44"/>
      <c r="Q41" s="31"/>
      <c r="R41" s="32" t="str">
        <f t="shared" si="1"/>
        <v/>
      </c>
      <c r="S41" s="33"/>
      <c r="T41" s="34" t="str">
        <f t="shared" si="2"/>
        <v/>
      </c>
      <c r="U41" s="35"/>
      <c r="V41" s="36" t="str">
        <f t="shared" si="3"/>
        <v/>
      </c>
      <c r="W41" s="37"/>
      <c r="X41" s="38"/>
      <c r="Y41" s="38" t="str">
        <f t="shared" si="5"/>
        <v/>
      </c>
      <c r="Z41" s="28"/>
      <c r="AA41" s="27"/>
      <c r="AB41" s="42"/>
      <c r="AC41" s="42"/>
      <c r="AD41" s="42"/>
      <c r="AE41" s="42"/>
      <c r="AF41" s="27" t="e">
        <f t="shared" si="10"/>
        <v>#DIV/0!</v>
      </c>
      <c r="AG41" s="42"/>
      <c r="AH41" s="39" t="e">
        <f t="shared" si="8"/>
        <v>#DIV/0!</v>
      </c>
      <c r="AI41" s="42"/>
    </row>
  </sheetData>
  <autoFilter ref="A1:AI41" xr:uid="{17053D90-E25B-47CC-A1ED-22A0FDF05D86}"/>
  <mergeCells count="1">
    <mergeCell ref="A37:AI37"/>
  </mergeCells>
  <conditionalFormatting sqref="M1:M36 M38:M41">
    <cfRule type="cellIs" dxfId="25" priority="94" operator="between">
      <formula>0.69</formula>
      <formula>0</formula>
    </cfRule>
    <cfRule type="cellIs" dxfId="24" priority="95" operator="between">
      <formula>0.79</formula>
      <formula>1</formula>
    </cfRule>
    <cfRule type="cellIs" dxfId="23" priority="96" operator="between">
      <formula>0.69</formula>
      <formula>0.79</formula>
    </cfRule>
  </conditionalFormatting>
  <conditionalFormatting sqref="Z38 Z1:Z36 Z40">
    <cfRule type="containsText" dxfId="22" priority="85" operator="containsText" text="NO EFICIENTE">
      <formula>NOT(ISERROR(SEARCH("NO EFICIENTE",Z1)))</formula>
    </cfRule>
    <cfRule type="containsText" dxfId="21" priority="86" operator="containsText" text="EFICIENTE">
      <formula>NOT(ISERROR(SEARCH("EFICIENTE",Z1)))</formula>
    </cfRule>
    <cfRule type="containsText" dxfId="20" priority="87" operator="containsText" text="NO">
      <formula>NOT(ISERROR(SEARCH("NO",Z1)))</formula>
    </cfRule>
    <cfRule type="containsText" dxfId="19" priority="88" operator="containsText" text="EFICIENTE">
      <formula>NOT(ISERROR(SEARCH("EFICIENTE",Z1)))</formula>
    </cfRule>
  </conditionalFormatting>
  <conditionalFormatting sqref="Z38:Z39">
    <cfRule type="containsText" dxfId="18" priority="54" operator="containsText" text="NO EFICIENTE">
      <formula>NOT(ISERROR(SEARCH("NO EFICIENTE",Z38)))</formula>
    </cfRule>
    <cfRule type="containsText" dxfId="17" priority="55" operator="containsText" text="EFICIENTE">
      <formula>NOT(ISERROR(SEARCH("EFICIENTE",Z38)))</formula>
    </cfRule>
    <cfRule type="containsText" dxfId="16" priority="56" operator="containsText" text="NO">
      <formula>NOT(ISERROR(SEARCH("NO",Z38)))</formula>
    </cfRule>
    <cfRule type="containsText" dxfId="15" priority="57" operator="containsText" text="EFICIENTE">
      <formula>NOT(ISERROR(SEARCH("EFICIENTE",Z38)))</formula>
    </cfRule>
  </conditionalFormatting>
  <conditionalFormatting sqref="Z38:Z41">
    <cfRule type="containsText" dxfId="14" priority="28" operator="containsText" text="NO EFICIENTE">
      <formula>NOT(ISERROR(SEARCH("NO EFICIENTE",Z38)))</formula>
    </cfRule>
    <cfRule type="containsText" dxfId="13" priority="29" operator="containsText" text="EFICIENTE">
      <formula>NOT(ISERROR(SEARCH("EFICIENTE",Z38)))</formula>
    </cfRule>
    <cfRule type="containsText" dxfId="12" priority="30" operator="containsText" text="NO">
      <formula>NOT(ISERROR(SEARCH("NO",Z38)))</formula>
    </cfRule>
    <cfRule type="containsText" dxfId="11" priority="31" operator="containsText" text="EFICIENTE">
      <formula>NOT(ISERROR(SEARCH("EFICIENTE",Z38)))</formula>
    </cfRule>
  </conditionalFormatting>
  <conditionalFormatting sqref="Z1:AA1">
    <cfRule type="containsText" dxfId="10" priority="89" operator="containsText" text="ACA">
      <formula>NOT(ISERROR(SEARCH("ACA",Z1)))</formula>
    </cfRule>
    <cfRule type="containsText" dxfId="9" priority="90" operator="containsText" text="TER">
      <formula>NOT(ISERROR(SEARCH("TER",Z1)))</formula>
    </cfRule>
    <cfRule type="containsText" dxfId="8" priority="91" operator="containsText" text="MON">
      <formula>NOT(ISERROR(SEARCH("MON",Z1)))</formula>
    </cfRule>
    <cfRule type="containsText" dxfId="7" priority="92" operator="containsText" text="TEJE">
      <formula>NOT(ISERROR(SEARCH("TEJE",Z1)))</formula>
    </cfRule>
    <cfRule type="containsText" dxfId="6" priority="93" operator="containsText" text="CA">
      <formula>NOT(ISERROR(SEARCH("CA",Z1)))</formula>
    </cfRule>
  </conditionalFormatting>
  <conditionalFormatting sqref="AA2:AA36 AA38:AA41">
    <cfRule type="containsText" dxfId="5" priority="49" operator="containsText" text="terminado">
      <formula>NOT(ISERROR(SEARCH("terminado",AA2)))</formula>
    </cfRule>
    <cfRule type="containsText" dxfId="4" priority="50" operator="containsText" text="acabados">
      <formula>NOT(ISERROR(SEARCH("acabados",AA2)))</formula>
    </cfRule>
    <cfRule type="containsText" dxfId="3" priority="51" operator="containsText" text="ca">
      <formula>NOT(ISERROR(SEARCH("ca",AA2)))</formula>
    </cfRule>
    <cfRule type="containsText" dxfId="2" priority="52" operator="containsText" text="mon">
      <formula>NOT(ISERROR(SEARCH("mon",AA2)))</formula>
    </cfRule>
    <cfRule type="containsText" dxfId="1" priority="53" operator="containsText" text="teje">
      <formula>NOT(ISERROR(SEARCH("teje",AA2)))</formula>
    </cfRule>
  </conditionalFormatting>
  <conditionalFormatting sqref="AH2:AH36 AH38:AH41">
    <cfRule type="cellIs" dxfId="0" priority="61" operator="greaterThan">
      <formula>45658</formula>
    </cfRule>
  </conditionalFormatting>
  <hyperlinks>
    <hyperlink ref="A2" r:id="rId1" location="'OP38 SEP'!A1" xr:uid="{2376F151-1753-4517-87F6-481FFC7ED0A0}"/>
    <hyperlink ref="A3" r:id="rId2" location="'OP33-35 SEP'!A1" xr:uid="{5ED61F4E-9662-483A-96F8-A520DFF44135}"/>
    <hyperlink ref="A5" r:id="rId3" location="'OP27 AGO'!A1" xr:uid="{10EDA79E-A77F-40DA-AA72-1AC1D92995A2}"/>
    <hyperlink ref="A4" r:id="rId4" location="'OP26 AGO'!A1" xr:uid="{01DD1D35-AAC7-4497-ACF1-52A92498FC61}"/>
    <hyperlink ref="A7" r:id="rId5" location="'OP48 SEP'!A1" xr:uid="{741D790B-5ECB-4565-9BC8-C39166A0B622}"/>
    <hyperlink ref="A9" r:id="rId6" location="'OP37-01 SEP'!A1" xr:uid="{CE3C9004-6C5D-49DE-B54B-9C94AE579866}"/>
    <hyperlink ref="A10" r:id="rId7" location="'OP26 SEP'!A1" xr:uid="{B28D06AB-F239-4560-9C0A-0BA6C28A6404}"/>
    <hyperlink ref="A11" r:id="rId8" location="'OP44 SEP'!A1" xr:uid="{46AA1397-C686-47C2-AD10-0966E62D4322}"/>
    <hyperlink ref="A12" r:id="rId9" location="'OP61 SEP'!A1" xr:uid="{74940AE3-5176-48C3-8940-3AB487677A3E}"/>
    <hyperlink ref="A6" r:id="rId10" location="'OP29 AGO'!A1" xr:uid="{F6EA37C9-858A-4FDE-A3B2-F23DC111D6DE}"/>
    <hyperlink ref="A15" r:id="rId11" location="'OP10 OCT'!A1" xr:uid="{CC522A51-090F-435A-886A-3913C368BCE7}"/>
    <hyperlink ref="A8" r:id="rId12" location="'OP34 SEP'!A1" xr:uid="{604840CF-201C-4655-AE89-C98A9FCD1643}"/>
    <hyperlink ref="A17" r:id="rId13" location="'OP40-41 SEP'!A1" xr:uid="{1C5B809F-9E4F-47A8-94EF-81CDEC4DA3F8}"/>
    <hyperlink ref="A14" r:id="rId14" location="'OP47 SEP'!A1" xr:uid="{2E83D01C-024F-488B-9C70-D6701F07D535}"/>
    <hyperlink ref="A21" r:id="rId15" location="'OP25 AGO'!A1" xr:uid="{EE13A919-DD3F-4947-BF1D-783D110A1F7C}"/>
    <hyperlink ref="A22" r:id="rId16" location="'OP04, 05 OCT'!A1" xr:uid="{169D38BD-F324-4161-A46D-A2CE6960650A}"/>
    <hyperlink ref="A23" r:id="rId17" location="'OP51 SEP'!A1" xr:uid="{DD3C74EB-C311-462E-ABB9-F78A4B77B12D}"/>
    <hyperlink ref="A24" r:id="rId18" location="'OP57 SEP'!A1" xr:uid="{64ED3458-634E-4345-BE60-F80DD7B12196}"/>
    <hyperlink ref="A25" r:id="rId19" location="'OP52 SEP'!A1" xr:uid="{4A8BBABC-471E-4855-ACCA-C59193F42AB5}"/>
    <hyperlink ref="A26" r:id="rId20" location="'OP05, 50 SEP'!A1" xr:uid="{B5E000E4-32D9-4FF5-9022-C902CB6A10F6}"/>
    <hyperlink ref="A19" r:id="rId21" location="'OP54 SEP'!A1" xr:uid="{F8F96E21-B6B9-4691-B442-F6176913B5AD}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EAD-53C5-48B7-9D73-B72188535652}">
  <sheetPr codeName="Hoja2"/>
  <dimension ref="A1:K57"/>
  <sheetViews>
    <sheetView workbookViewId="0">
      <pane ySplit="1" topLeftCell="A26" activePane="bottomLeft" state="frozen"/>
      <selection pane="bottomLeft" activeCell="D40" sqref="D40"/>
    </sheetView>
  </sheetViews>
  <sheetFormatPr baseColWidth="10" defaultColWidth="10.6640625" defaultRowHeight="14.4" x14ac:dyDescent="0.3"/>
  <cols>
    <col min="1" max="2" width="16" style="52" customWidth="1"/>
  </cols>
  <sheetData>
    <row r="1" spans="1:11" ht="22.95" customHeight="1" x14ac:dyDescent="0.3">
      <c r="A1" s="46" t="s">
        <v>45</v>
      </c>
      <c r="B1" s="46"/>
      <c r="C1" s="46" t="s">
        <v>46</v>
      </c>
      <c r="D1" s="46" t="s">
        <v>47</v>
      </c>
      <c r="E1" s="46" t="s">
        <v>48</v>
      </c>
      <c r="F1" s="46" t="s">
        <v>35</v>
      </c>
      <c r="G1" s="46" t="s">
        <v>49</v>
      </c>
      <c r="H1" s="46" t="s">
        <v>50</v>
      </c>
      <c r="I1" s="46" t="s">
        <v>51</v>
      </c>
      <c r="J1" s="46" t="s">
        <v>36</v>
      </c>
    </row>
    <row r="2" spans="1:11" x14ac:dyDescent="0.3">
      <c r="A2" s="55" t="s">
        <v>43</v>
      </c>
      <c r="B2" s="47"/>
      <c r="C2" s="48">
        <v>6</v>
      </c>
      <c r="D2" s="48"/>
      <c r="E2" s="48"/>
      <c r="F2" s="48"/>
      <c r="G2" s="48"/>
      <c r="H2" s="48"/>
      <c r="I2" s="48"/>
      <c r="J2" s="48"/>
      <c r="K2">
        <f t="shared" ref="K2:K55" si="0">SUM(E2:J2)</f>
        <v>0</v>
      </c>
    </row>
    <row r="3" spans="1:11" x14ac:dyDescent="0.3">
      <c r="A3" s="55" t="s">
        <v>54</v>
      </c>
      <c r="B3" s="47"/>
      <c r="C3" s="48">
        <v>2</v>
      </c>
      <c r="D3" s="48">
        <v>2</v>
      </c>
      <c r="E3" s="48"/>
      <c r="F3" s="48"/>
      <c r="G3" s="48"/>
      <c r="H3" s="48"/>
      <c r="I3" s="48"/>
      <c r="J3" s="48"/>
      <c r="K3">
        <f t="shared" si="0"/>
        <v>0</v>
      </c>
    </row>
    <row r="4" spans="1:11" x14ac:dyDescent="0.3">
      <c r="A4" s="55" t="s">
        <v>56</v>
      </c>
      <c r="B4" s="47"/>
      <c r="C4" s="48">
        <v>3</v>
      </c>
      <c r="D4" s="48"/>
      <c r="E4" s="48"/>
      <c r="F4" s="48">
        <v>3</v>
      </c>
      <c r="G4" s="48"/>
      <c r="H4" s="48"/>
      <c r="I4" s="48"/>
      <c r="J4" s="48"/>
      <c r="K4">
        <f t="shared" si="0"/>
        <v>3</v>
      </c>
    </row>
    <row r="5" spans="1:11" x14ac:dyDescent="0.3">
      <c r="A5" s="47" t="s">
        <v>40</v>
      </c>
      <c r="B5" s="47"/>
      <c r="C5" s="48">
        <v>3</v>
      </c>
      <c r="D5" s="48">
        <v>3</v>
      </c>
      <c r="E5" s="48"/>
      <c r="F5" s="48"/>
      <c r="G5" s="48"/>
      <c r="H5" s="48"/>
      <c r="I5" s="48"/>
      <c r="J5" s="48"/>
      <c r="K5">
        <f t="shared" si="0"/>
        <v>0</v>
      </c>
    </row>
    <row r="6" spans="1:11" x14ac:dyDescent="0.3">
      <c r="A6" s="55" t="s">
        <v>57</v>
      </c>
      <c r="B6" s="47"/>
      <c r="C6" s="48"/>
      <c r="D6" s="48">
        <v>4</v>
      </c>
      <c r="E6" s="48"/>
      <c r="F6" s="48"/>
      <c r="G6" s="48"/>
      <c r="H6" s="48"/>
      <c r="I6" s="48"/>
      <c r="J6" s="48"/>
      <c r="K6">
        <f t="shared" si="0"/>
        <v>0</v>
      </c>
    </row>
    <row r="7" spans="1:11" x14ac:dyDescent="0.3">
      <c r="A7" s="55" t="s">
        <v>58</v>
      </c>
      <c r="B7" s="49"/>
      <c r="C7" s="48"/>
      <c r="D7" s="48"/>
      <c r="E7" s="48"/>
      <c r="F7" s="48">
        <v>8</v>
      </c>
      <c r="G7" s="48"/>
      <c r="H7" s="48"/>
      <c r="I7" s="48"/>
      <c r="J7" s="48"/>
      <c r="K7">
        <f t="shared" si="0"/>
        <v>8</v>
      </c>
    </row>
    <row r="8" spans="1:11" x14ac:dyDescent="0.3">
      <c r="A8" s="47" t="s">
        <v>41</v>
      </c>
      <c r="B8" s="47"/>
      <c r="C8" s="48"/>
      <c r="D8" s="48"/>
      <c r="E8" s="48"/>
      <c r="F8" s="48">
        <v>4</v>
      </c>
      <c r="G8" s="48"/>
      <c r="H8" s="48"/>
      <c r="I8" s="48"/>
      <c r="J8" s="48">
        <v>4</v>
      </c>
      <c r="K8">
        <f t="shared" si="0"/>
        <v>8</v>
      </c>
    </row>
    <row r="9" spans="1:11" x14ac:dyDescent="0.3">
      <c r="A9" s="47" t="s">
        <v>59</v>
      </c>
      <c r="B9" s="49"/>
      <c r="C9" s="48">
        <v>1</v>
      </c>
      <c r="D9" s="48"/>
      <c r="E9" s="48"/>
      <c r="F9" s="48">
        <v>1</v>
      </c>
      <c r="G9" s="48"/>
      <c r="H9" s="48"/>
      <c r="I9" s="48"/>
      <c r="J9" s="48"/>
      <c r="K9">
        <f t="shared" si="0"/>
        <v>1</v>
      </c>
    </row>
    <row r="10" spans="1:11" x14ac:dyDescent="0.3">
      <c r="A10" s="47" t="s">
        <v>42</v>
      </c>
      <c r="B10" s="49"/>
      <c r="C10" s="48"/>
      <c r="D10" s="48"/>
      <c r="E10" s="48"/>
      <c r="F10" s="48">
        <v>12</v>
      </c>
      <c r="G10" s="48"/>
      <c r="H10" s="48"/>
      <c r="I10" s="48"/>
      <c r="J10" s="48"/>
      <c r="K10">
        <f t="shared" si="0"/>
        <v>12</v>
      </c>
    </row>
    <row r="11" spans="1:11" x14ac:dyDescent="0.3">
      <c r="A11" s="47" t="s">
        <v>60</v>
      </c>
      <c r="B11" s="49"/>
      <c r="C11" s="48"/>
      <c r="D11" s="48">
        <v>6</v>
      </c>
      <c r="E11" s="48"/>
      <c r="F11" s="48"/>
      <c r="G11" s="48"/>
      <c r="H11" s="48"/>
      <c r="I11" s="48"/>
      <c r="J11" s="48"/>
      <c r="K11">
        <f t="shared" si="0"/>
        <v>0</v>
      </c>
    </row>
    <row r="12" spans="1:11" x14ac:dyDescent="0.3">
      <c r="A12" s="47" t="s">
        <v>61</v>
      </c>
      <c r="B12" s="47"/>
      <c r="C12" s="48">
        <v>3</v>
      </c>
      <c r="D12" s="48">
        <v>3</v>
      </c>
      <c r="E12" s="48"/>
      <c r="F12" s="48"/>
      <c r="G12" s="48"/>
      <c r="H12" s="48"/>
      <c r="I12" s="48"/>
      <c r="J12" s="48"/>
      <c r="K12">
        <f t="shared" si="0"/>
        <v>0</v>
      </c>
    </row>
    <row r="13" spans="1:11" x14ac:dyDescent="0.3">
      <c r="A13" s="47" t="s">
        <v>62</v>
      </c>
      <c r="B13" s="49"/>
      <c r="C13" s="48">
        <v>3</v>
      </c>
      <c r="D13" s="48">
        <v>3</v>
      </c>
      <c r="E13" s="48"/>
      <c r="F13" s="48"/>
      <c r="G13" s="48"/>
      <c r="H13" s="48"/>
      <c r="I13" s="48"/>
      <c r="J13" s="48"/>
      <c r="K13">
        <f t="shared" si="0"/>
        <v>0</v>
      </c>
    </row>
    <row r="14" spans="1:11" x14ac:dyDescent="0.3">
      <c r="A14" s="55" t="s">
        <v>97</v>
      </c>
      <c r="B14" s="49"/>
      <c r="C14" s="48"/>
      <c r="D14" s="48">
        <v>3</v>
      </c>
      <c r="E14" s="48"/>
      <c r="F14" s="48"/>
      <c r="G14" s="48"/>
      <c r="H14" s="48"/>
      <c r="I14" s="48"/>
      <c r="J14" s="48"/>
      <c r="K14">
        <f t="shared" si="0"/>
        <v>0</v>
      </c>
    </row>
    <row r="15" spans="1:11" x14ac:dyDescent="0.3">
      <c r="A15" s="55" t="s">
        <v>77</v>
      </c>
      <c r="B15" s="47"/>
      <c r="C15" s="48"/>
      <c r="D15" s="48"/>
      <c r="E15" s="48"/>
      <c r="F15" s="48">
        <v>6</v>
      </c>
      <c r="G15" s="48"/>
      <c r="H15" s="48"/>
      <c r="I15" s="48"/>
      <c r="J15" s="48"/>
      <c r="K15">
        <f t="shared" si="0"/>
        <v>6</v>
      </c>
    </row>
    <row r="16" spans="1:11" x14ac:dyDescent="0.3">
      <c r="A16" s="47" t="s">
        <v>103</v>
      </c>
      <c r="B16" s="47"/>
      <c r="C16" s="48">
        <v>3</v>
      </c>
      <c r="D16" s="48"/>
      <c r="E16" s="48"/>
      <c r="F16" s="48"/>
      <c r="G16" s="48">
        <v>3</v>
      </c>
      <c r="H16" s="48"/>
      <c r="I16" s="48"/>
      <c r="J16" s="48"/>
      <c r="K16">
        <f t="shared" si="0"/>
        <v>3</v>
      </c>
    </row>
    <row r="17" spans="1:11" x14ac:dyDescent="0.3">
      <c r="A17" s="47" t="s">
        <v>111</v>
      </c>
      <c r="B17" s="47"/>
      <c r="C17" s="48"/>
      <c r="D17" s="48"/>
      <c r="E17" s="48"/>
      <c r="F17" s="48">
        <v>4</v>
      </c>
      <c r="G17" s="48"/>
      <c r="H17" s="48"/>
      <c r="I17" s="48"/>
      <c r="J17" s="48"/>
      <c r="K17">
        <f t="shared" si="0"/>
        <v>4</v>
      </c>
    </row>
    <row r="18" spans="1:11" x14ac:dyDescent="0.3">
      <c r="A18" s="47" t="s">
        <v>83</v>
      </c>
      <c r="B18" s="47"/>
      <c r="C18" s="48"/>
      <c r="D18" s="48">
        <v>1</v>
      </c>
      <c r="E18" s="48"/>
      <c r="F18" s="48">
        <v>1</v>
      </c>
      <c r="G18" s="48"/>
      <c r="H18" s="48"/>
      <c r="I18" s="48"/>
      <c r="J18" s="48"/>
      <c r="K18">
        <f t="shared" si="0"/>
        <v>1</v>
      </c>
    </row>
    <row r="19" spans="1:11" x14ac:dyDescent="0.3">
      <c r="A19" s="49" t="s">
        <v>113</v>
      </c>
      <c r="B19" s="49"/>
      <c r="C19" s="48">
        <v>6</v>
      </c>
      <c r="D19" s="48"/>
      <c r="E19" s="48"/>
      <c r="F19" s="48"/>
      <c r="G19" s="48"/>
      <c r="H19" s="48"/>
      <c r="I19" s="48"/>
      <c r="J19" s="48"/>
      <c r="K19">
        <f t="shared" si="0"/>
        <v>0</v>
      </c>
    </row>
    <row r="20" spans="1:11" x14ac:dyDescent="0.3">
      <c r="A20" s="47" t="s">
        <v>115</v>
      </c>
      <c r="B20" s="47"/>
      <c r="C20" s="48">
        <v>2</v>
      </c>
      <c r="D20" s="48">
        <v>3</v>
      </c>
      <c r="E20" s="48"/>
      <c r="F20" s="48"/>
      <c r="G20" s="48"/>
      <c r="H20" s="48"/>
      <c r="I20" s="48"/>
      <c r="J20" s="48"/>
      <c r="K20">
        <f t="shared" si="0"/>
        <v>0</v>
      </c>
    </row>
    <row r="21" spans="1:11" x14ac:dyDescent="0.3">
      <c r="A21" s="55" t="s">
        <v>89</v>
      </c>
      <c r="B21" s="47"/>
      <c r="C21" s="48">
        <v>1</v>
      </c>
      <c r="D21" s="48"/>
      <c r="E21" s="48"/>
      <c r="F21" s="48"/>
      <c r="G21" s="48">
        <v>1</v>
      </c>
      <c r="H21" s="48"/>
      <c r="I21" s="48"/>
      <c r="J21" s="48"/>
      <c r="K21">
        <f t="shared" si="0"/>
        <v>1</v>
      </c>
    </row>
    <row r="22" spans="1:11" x14ac:dyDescent="0.3">
      <c r="A22" s="55" t="s">
        <v>126</v>
      </c>
      <c r="B22" s="47"/>
      <c r="C22" s="48">
        <v>3</v>
      </c>
      <c r="D22" s="48">
        <v>2</v>
      </c>
      <c r="E22" s="48"/>
      <c r="F22" s="48"/>
      <c r="G22" s="48"/>
      <c r="H22" s="48"/>
      <c r="I22" s="48"/>
      <c r="J22" s="48"/>
      <c r="K22">
        <f t="shared" si="0"/>
        <v>0</v>
      </c>
    </row>
    <row r="23" spans="1:11" x14ac:dyDescent="0.3">
      <c r="A23" s="55" t="s">
        <v>135</v>
      </c>
      <c r="B23" s="47"/>
      <c r="C23" s="48">
        <v>3</v>
      </c>
      <c r="D23" s="48">
        <v>3</v>
      </c>
      <c r="E23" s="48"/>
      <c r="F23" s="48"/>
      <c r="G23" s="48"/>
      <c r="H23" s="48"/>
      <c r="I23" s="48"/>
      <c r="J23" s="48"/>
      <c r="K23">
        <f t="shared" si="0"/>
        <v>0</v>
      </c>
    </row>
    <row r="24" spans="1:11" x14ac:dyDescent="0.3">
      <c r="A24" s="55" t="s">
        <v>138</v>
      </c>
      <c r="B24" s="47"/>
      <c r="C24" s="48">
        <v>1</v>
      </c>
      <c r="D24" s="48"/>
      <c r="E24" s="48"/>
      <c r="F24" s="48"/>
      <c r="G24" s="48">
        <v>1</v>
      </c>
      <c r="H24" s="48"/>
      <c r="I24" s="48"/>
      <c r="J24" s="48"/>
      <c r="K24">
        <f t="shared" si="0"/>
        <v>1</v>
      </c>
    </row>
    <row r="25" spans="1:11" x14ac:dyDescent="0.3">
      <c r="A25" s="60" t="s">
        <v>142</v>
      </c>
      <c r="B25" s="50"/>
      <c r="C25" s="48">
        <v>1</v>
      </c>
      <c r="D25" s="48">
        <v>4</v>
      </c>
      <c r="E25" s="48"/>
      <c r="F25" s="48"/>
      <c r="G25" s="48">
        <v>1</v>
      </c>
      <c r="H25" s="48"/>
      <c r="I25" s="48"/>
      <c r="J25" s="48"/>
      <c r="K25">
        <f t="shared" si="0"/>
        <v>1</v>
      </c>
    </row>
    <row r="26" spans="1:11" x14ac:dyDescent="0.3">
      <c r="A26" s="55" t="s">
        <v>146</v>
      </c>
      <c r="B26" s="47"/>
      <c r="C26" s="48">
        <v>2</v>
      </c>
      <c r="D26" s="48">
        <v>2</v>
      </c>
      <c r="E26" s="48"/>
      <c r="F26" s="48">
        <v>2</v>
      </c>
      <c r="G26" s="48"/>
      <c r="H26" s="48"/>
      <c r="I26" s="48"/>
      <c r="J26" s="48"/>
      <c r="K26">
        <f t="shared" si="0"/>
        <v>2</v>
      </c>
    </row>
    <row r="27" spans="1:11" x14ac:dyDescent="0.3">
      <c r="A27" s="55" t="s">
        <v>149</v>
      </c>
      <c r="B27" s="47"/>
      <c r="C27" s="48">
        <v>1</v>
      </c>
      <c r="D27" s="48">
        <v>1</v>
      </c>
      <c r="E27" s="48"/>
      <c r="F27" s="48"/>
      <c r="G27" s="48"/>
      <c r="H27" s="48"/>
      <c r="I27" s="48"/>
      <c r="J27" s="48"/>
      <c r="K27">
        <f t="shared" si="0"/>
        <v>0</v>
      </c>
    </row>
    <row r="28" spans="1:11" x14ac:dyDescent="0.3">
      <c r="A28" s="55" t="s">
        <v>119</v>
      </c>
      <c r="B28" s="47"/>
      <c r="C28" s="51">
        <v>2</v>
      </c>
      <c r="D28" s="48"/>
      <c r="E28" s="48"/>
      <c r="F28" s="51">
        <v>2</v>
      </c>
      <c r="G28" s="48"/>
      <c r="H28" s="48"/>
      <c r="I28" s="48"/>
      <c r="J28" s="48"/>
      <c r="K28">
        <f t="shared" si="0"/>
        <v>2</v>
      </c>
    </row>
    <row r="29" spans="1:11" x14ac:dyDescent="0.3">
      <c r="A29" s="55" t="s">
        <v>73</v>
      </c>
      <c r="B29" s="47"/>
      <c r="C29" s="48">
        <v>4</v>
      </c>
      <c r="D29" s="48"/>
      <c r="E29" s="48"/>
      <c r="F29" s="48"/>
      <c r="G29" s="48"/>
      <c r="H29" s="48"/>
      <c r="I29" s="48"/>
      <c r="J29" s="48"/>
      <c r="K29">
        <f t="shared" si="0"/>
        <v>0</v>
      </c>
    </row>
    <row r="30" spans="1:11" x14ac:dyDescent="0.3">
      <c r="A30" s="47" t="s">
        <v>163</v>
      </c>
      <c r="B30" s="47"/>
      <c r="C30" s="48">
        <v>1.5</v>
      </c>
      <c r="D30" s="48">
        <v>1.5</v>
      </c>
      <c r="E30" s="48"/>
      <c r="F30" s="48"/>
      <c r="G30" s="48"/>
      <c r="H30" s="48"/>
      <c r="I30" s="48"/>
      <c r="J30" s="48"/>
      <c r="K30">
        <f t="shared" si="0"/>
        <v>0</v>
      </c>
    </row>
    <row r="31" spans="1:11" x14ac:dyDescent="0.3">
      <c r="A31" s="47" t="s">
        <v>166</v>
      </c>
      <c r="B31" s="47"/>
      <c r="C31" s="48"/>
      <c r="D31" s="48"/>
      <c r="E31" s="48"/>
      <c r="F31" s="48">
        <v>4</v>
      </c>
      <c r="G31" s="48"/>
      <c r="H31" s="48"/>
      <c r="I31" s="48"/>
      <c r="J31" s="48"/>
      <c r="K31">
        <f t="shared" si="0"/>
        <v>4</v>
      </c>
    </row>
    <row r="32" spans="1:11" x14ac:dyDescent="0.3">
      <c r="A32" s="47" t="s">
        <v>169</v>
      </c>
      <c r="B32" s="47"/>
      <c r="C32" s="51">
        <v>3</v>
      </c>
      <c r="D32" s="51">
        <v>3</v>
      </c>
      <c r="E32" s="48"/>
      <c r="F32" s="48"/>
      <c r="G32" s="48"/>
      <c r="H32" s="48"/>
      <c r="I32" s="48"/>
      <c r="J32" s="48"/>
      <c r="K32">
        <f t="shared" si="0"/>
        <v>0</v>
      </c>
    </row>
    <row r="33" spans="1:11" x14ac:dyDescent="0.3">
      <c r="A33" s="47" t="s">
        <v>335</v>
      </c>
      <c r="B33" s="47"/>
      <c r="C33" s="48"/>
      <c r="D33" s="48">
        <v>6</v>
      </c>
      <c r="E33" s="48"/>
      <c r="F33" s="48"/>
      <c r="G33" s="48"/>
      <c r="H33" s="48"/>
      <c r="I33" s="48"/>
      <c r="J33" s="48"/>
      <c r="K33">
        <f t="shared" si="0"/>
        <v>0</v>
      </c>
    </row>
    <row r="34" spans="1:11" x14ac:dyDescent="0.3">
      <c r="A34" s="47" t="s">
        <v>378</v>
      </c>
      <c r="B34" s="47"/>
      <c r="C34" s="48">
        <v>2</v>
      </c>
      <c r="D34" s="48">
        <v>2</v>
      </c>
      <c r="E34" s="48"/>
      <c r="F34" s="48"/>
      <c r="G34" s="48"/>
      <c r="H34" s="48"/>
      <c r="I34" s="48"/>
      <c r="J34" s="48"/>
      <c r="K34">
        <f t="shared" si="0"/>
        <v>0</v>
      </c>
    </row>
    <row r="35" spans="1:11" x14ac:dyDescent="0.3">
      <c r="A35" s="47" t="s">
        <v>293</v>
      </c>
      <c r="B35" s="47"/>
      <c r="C35" s="48"/>
      <c r="D35" s="48">
        <v>6</v>
      </c>
      <c r="E35" s="48"/>
      <c r="F35" s="48"/>
      <c r="G35" s="48"/>
      <c r="H35" s="48"/>
      <c r="I35" s="48"/>
      <c r="J35" s="48"/>
      <c r="K35">
        <f t="shared" si="0"/>
        <v>0</v>
      </c>
    </row>
    <row r="36" spans="1:11" x14ac:dyDescent="0.3">
      <c r="A36" s="47" t="s">
        <v>338</v>
      </c>
      <c r="B36" s="47"/>
      <c r="C36" s="48"/>
      <c r="D36" s="48">
        <v>12</v>
      </c>
      <c r="E36" s="48"/>
      <c r="F36" s="48"/>
      <c r="G36" s="48"/>
      <c r="H36" s="48"/>
      <c r="I36" s="48"/>
      <c r="J36" s="48"/>
      <c r="K36">
        <f t="shared" si="0"/>
        <v>0</v>
      </c>
    </row>
    <row r="37" spans="1:11" x14ac:dyDescent="0.3">
      <c r="A37" s="47" t="s">
        <v>302</v>
      </c>
      <c r="B37" s="47"/>
      <c r="C37" s="48"/>
      <c r="D37" s="48">
        <v>2</v>
      </c>
      <c r="E37" s="48"/>
      <c r="F37" s="48">
        <v>2</v>
      </c>
      <c r="G37" s="48"/>
      <c r="H37" s="48"/>
      <c r="I37" s="48"/>
      <c r="J37" s="48"/>
      <c r="K37">
        <f t="shared" si="0"/>
        <v>2</v>
      </c>
    </row>
    <row r="38" spans="1:11" x14ac:dyDescent="0.3">
      <c r="A38" s="47" t="s">
        <v>156</v>
      </c>
      <c r="B38" s="47"/>
      <c r="C38" s="48">
        <v>2</v>
      </c>
      <c r="D38" s="48">
        <v>2</v>
      </c>
      <c r="E38" s="51"/>
      <c r="F38" s="48"/>
      <c r="G38" s="51"/>
      <c r="H38" s="48"/>
      <c r="I38" s="48"/>
      <c r="J38" s="48"/>
      <c r="K38">
        <f t="shared" si="0"/>
        <v>0</v>
      </c>
    </row>
    <row r="39" spans="1:11" x14ac:dyDescent="0.3">
      <c r="A39" s="47" t="s">
        <v>384</v>
      </c>
      <c r="B39" s="47"/>
      <c r="C39" s="48">
        <v>3</v>
      </c>
      <c r="D39" s="48">
        <v>3</v>
      </c>
      <c r="E39" s="48"/>
      <c r="F39" s="51"/>
      <c r="G39" s="51"/>
      <c r="H39" s="48"/>
      <c r="I39" s="48"/>
      <c r="J39" s="48"/>
      <c r="K39">
        <f t="shared" si="0"/>
        <v>0</v>
      </c>
    </row>
    <row r="40" spans="1:11" x14ac:dyDescent="0.3">
      <c r="A40" s="49" t="s">
        <v>388</v>
      </c>
      <c r="B40" s="49"/>
      <c r="C40" s="48">
        <v>2</v>
      </c>
      <c r="D40" s="48">
        <v>2</v>
      </c>
      <c r="E40" s="48"/>
      <c r="F40" s="48"/>
      <c r="G40" s="48"/>
      <c r="H40" s="48"/>
      <c r="I40" s="48"/>
      <c r="J40" s="48"/>
      <c r="K40">
        <f t="shared" si="0"/>
        <v>0</v>
      </c>
    </row>
    <row r="41" spans="1:11" x14ac:dyDescent="0.3">
      <c r="A41" s="47"/>
      <c r="B41" s="47"/>
      <c r="C41" s="48"/>
      <c r="D41" s="48"/>
      <c r="E41" s="48"/>
      <c r="F41" s="48"/>
      <c r="G41" s="48"/>
      <c r="H41" s="48"/>
      <c r="I41" s="48"/>
      <c r="J41" s="48"/>
      <c r="K41">
        <f t="shared" si="0"/>
        <v>0</v>
      </c>
    </row>
    <row r="42" spans="1:11" x14ac:dyDescent="0.3">
      <c r="A42" s="49"/>
      <c r="B42" s="49"/>
      <c r="C42" s="51"/>
      <c r="D42" s="48"/>
      <c r="E42" s="48"/>
      <c r="F42" s="51"/>
      <c r="G42" s="48"/>
      <c r="H42" s="48"/>
      <c r="I42" s="48"/>
      <c r="J42" s="48"/>
      <c r="K42">
        <f t="shared" si="0"/>
        <v>0</v>
      </c>
    </row>
    <row r="43" spans="1:11" x14ac:dyDescent="0.3">
      <c r="A43" s="47"/>
      <c r="B43" s="47"/>
      <c r="C43" s="48"/>
      <c r="D43" s="48"/>
      <c r="E43" s="48"/>
      <c r="F43" s="48"/>
      <c r="G43" s="48"/>
      <c r="H43" s="48"/>
      <c r="I43" s="48"/>
      <c r="J43" s="48"/>
      <c r="K43">
        <f t="shared" si="0"/>
        <v>0</v>
      </c>
    </row>
    <row r="44" spans="1:11" x14ac:dyDescent="0.3">
      <c r="A44" s="47"/>
      <c r="B44" s="47"/>
      <c r="C44" s="48"/>
      <c r="D44" s="48"/>
      <c r="E44" s="48"/>
      <c r="F44" s="48"/>
      <c r="G44" s="48"/>
      <c r="H44" s="48"/>
      <c r="I44" s="48"/>
      <c r="J44" s="48"/>
      <c r="K44">
        <f t="shared" si="0"/>
        <v>0</v>
      </c>
    </row>
    <row r="45" spans="1:11" x14ac:dyDescent="0.3">
      <c r="A45" s="47"/>
      <c r="B45" s="47"/>
      <c r="C45" s="48"/>
      <c r="D45" s="48"/>
      <c r="E45" s="48"/>
      <c r="F45" s="48"/>
      <c r="G45" s="48"/>
      <c r="H45" s="48"/>
      <c r="I45" s="48"/>
      <c r="J45" s="48"/>
      <c r="K45">
        <f t="shared" si="0"/>
        <v>0</v>
      </c>
    </row>
    <row r="46" spans="1:11" x14ac:dyDescent="0.3">
      <c r="A46" s="49"/>
      <c r="B46" s="49"/>
      <c r="C46" s="48"/>
      <c r="D46" s="51"/>
      <c r="E46" s="48"/>
      <c r="F46" s="48"/>
      <c r="G46" s="51"/>
      <c r="H46" s="48"/>
      <c r="I46" s="48"/>
      <c r="J46" s="48"/>
      <c r="K46">
        <f t="shared" si="0"/>
        <v>0</v>
      </c>
    </row>
    <row r="47" spans="1:11" x14ac:dyDescent="0.3">
      <c r="A47" s="49"/>
      <c r="B47" s="49"/>
      <c r="C47" s="48"/>
      <c r="D47" s="48"/>
      <c r="E47" s="48"/>
      <c r="F47" s="48"/>
      <c r="G47" s="48"/>
      <c r="H47" s="48"/>
      <c r="I47" s="48"/>
      <c r="J47" s="48"/>
      <c r="K47">
        <f t="shared" si="0"/>
        <v>0</v>
      </c>
    </row>
    <row r="48" spans="1:11" x14ac:dyDescent="0.3">
      <c r="A48" s="47"/>
      <c r="B48" s="47"/>
      <c r="C48" s="48"/>
      <c r="D48" s="48"/>
      <c r="E48" s="48"/>
      <c r="F48" s="48"/>
      <c r="G48" s="48"/>
      <c r="H48" s="48"/>
      <c r="I48" s="48"/>
      <c r="J48" s="48"/>
      <c r="K48">
        <f t="shared" si="0"/>
        <v>0</v>
      </c>
    </row>
    <row r="49" spans="1:11" x14ac:dyDescent="0.3">
      <c r="A49" s="47"/>
      <c r="B49" s="47"/>
      <c r="C49" s="48"/>
      <c r="D49" s="48"/>
      <c r="E49" s="48"/>
      <c r="F49" s="48"/>
      <c r="G49" s="48"/>
      <c r="H49" s="48"/>
      <c r="I49" s="48"/>
      <c r="J49" s="48"/>
      <c r="K49">
        <f t="shared" si="0"/>
        <v>0</v>
      </c>
    </row>
    <row r="50" spans="1:11" x14ac:dyDescent="0.3">
      <c r="A50" s="49"/>
      <c r="B50" s="49"/>
      <c r="C50" s="48"/>
      <c r="D50" s="48"/>
      <c r="E50" s="48"/>
      <c r="F50" s="48"/>
      <c r="G50" s="48"/>
      <c r="H50" s="48"/>
      <c r="I50" s="48"/>
      <c r="J50" s="48"/>
      <c r="K50">
        <f t="shared" si="0"/>
        <v>0</v>
      </c>
    </row>
    <row r="51" spans="1:11" x14ac:dyDescent="0.3">
      <c r="A51" s="47"/>
      <c r="B51" s="47"/>
      <c r="C51" s="48"/>
      <c r="D51" s="48"/>
      <c r="E51" s="48"/>
      <c r="F51" s="48"/>
      <c r="G51" s="48"/>
      <c r="H51" s="48"/>
      <c r="I51" s="48"/>
      <c r="J51" s="48"/>
      <c r="K51">
        <f t="shared" si="0"/>
        <v>0</v>
      </c>
    </row>
    <row r="52" spans="1:11" x14ac:dyDescent="0.3">
      <c r="A52" s="47"/>
      <c r="B52" s="47"/>
      <c r="C52" s="48"/>
      <c r="D52" s="48"/>
      <c r="E52" s="48"/>
      <c r="F52" s="48"/>
      <c r="G52" s="48"/>
      <c r="H52" s="48"/>
      <c r="I52" s="48"/>
      <c r="J52" s="48"/>
      <c r="K52">
        <f t="shared" si="0"/>
        <v>0</v>
      </c>
    </row>
    <row r="53" spans="1:11" x14ac:dyDescent="0.3">
      <c r="A53" s="47"/>
      <c r="B53" s="47"/>
      <c r="C53" s="48"/>
      <c r="D53" s="48"/>
      <c r="E53" s="48"/>
      <c r="F53" s="48"/>
      <c r="G53" s="48"/>
      <c r="H53" s="48"/>
      <c r="I53" s="48"/>
      <c r="J53" s="48"/>
      <c r="K53">
        <f t="shared" si="0"/>
        <v>0</v>
      </c>
    </row>
    <row r="54" spans="1:11" x14ac:dyDescent="0.3">
      <c r="A54" s="47"/>
      <c r="B54" s="47"/>
      <c r="C54" s="48"/>
      <c r="D54" s="48"/>
      <c r="E54" s="48"/>
      <c r="F54" s="48"/>
      <c r="G54" s="48"/>
      <c r="H54" s="48"/>
      <c r="I54" s="48"/>
      <c r="J54" s="48"/>
      <c r="K54">
        <f t="shared" si="0"/>
        <v>0</v>
      </c>
    </row>
    <row r="55" spans="1:11" x14ac:dyDescent="0.3">
      <c r="A55" s="47"/>
      <c r="B55" s="47"/>
      <c r="C55" s="48"/>
      <c r="D55" s="48"/>
      <c r="E55" s="48"/>
      <c r="F55" s="48"/>
      <c r="G55" s="48"/>
      <c r="H55" s="48"/>
      <c r="I55" s="48"/>
      <c r="J55" s="48"/>
      <c r="K55">
        <f t="shared" si="0"/>
        <v>0</v>
      </c>
    </row>
    <row r="57" spans="1:11" x14ac:dyDescent="0.3">
      <c r="C57">
        <f t="shared" ref="C57:K57" si="1">SUM(C2:C56)</f>
        <v>63.5</v>
      </c>
      <c r="D57">
        <f>SUM(D2:D56)</f>
        <v>79.5</v>
      </c>
      <c r="E57">
        <f t="shared" si="1"/>
        <v>0</v>
      </c>
      <c r="F57">
        <f t="shared" si="1"/>
        <v>49</v>
      </c>
      <c r="G57">
        <f t="shared" si="1"/>
        <v>6</v>
      </c>
      <c r="H57">
        <f t="shared" si="1"/>
        <v>0</v>
      </c>
      <c r="I57">
        <f t="shared" si="1"/>
        <v>0</v>
      </c>
      <c r="J57">
        <f t="shared" si="1"/>
        <v>4</v>
      </c>
      <c r="K57" s="53">
        <f t="shared" si="1"/>
        <v>59</v>
      </c>
    </row>
  </sheetData>
  <autoFilter ref="A1:K33" xr:uid="{D644DEAD-53C5-48B7-9D73-B72188535652}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F886-4EDE-459E-B587-484A84BFDFBD}">
  <sheetPr codeName="Hoja4" filterMode="1"/>
  <dimension ref="A1:H48"/>
  <sheetViews>
    <sheetView workbookViewId="0">
      <pane ySplit="1" topLeftCell="A2" activePane="bottomLeft" state="frozen"/>
      <selection pane="bottomLeft" activeCell="H33" sqref="H33"/>
    </sheetView>
  </sheetViews>
  <sheetFormatPr baseColWidth="10" defaultColWidth="10.6640625" defaultRowHeight="14.4" x14ac:dyDescent="0.3"/>
  <cols>
    <col min="1" max="1" width="15.88671875" customWidth="1"/>
    <col min="2" max="2" width="57.5546875" customWidth="1"/>
    <col min="3" max="8" width="19.109375" customWidth="1"/>
  </cols>
  <sheetData>
    <row r="1" spans="1:8" x14ac:dyDescent="0.3">
      <c r="A1" s="46" t="s">
        <v>45</v>
      </c>
      <c r="B1" s="46"/>
      <c r="C1" s="46" t="s">
        <v>52</v>
      </c>
      <c r="D1" s="46" t="s">
        <v>75</v>
      </c>
      <c r="E1" s="46" t="s">
        <v>48</v>
      </c>
      <c r="F1" s="46" t="s">
        <v>35</v>
      </c>
      <c r="G1" s="46" t="s">
        <v>49</v>
      </c>
      <c r="H1" s="46" t="s">
        <v>36</v>
      </c>
    </row>
    <row r="2" spans="1:8" s="57" customFormat="1" hidden="1" x14ac:dyDescent="0.3">
      <c r="A2" s="55" t="s">
        <v>57</v>
      </c>
      <c r="B2" s="47" t="s">
        <v>96</v>
      </c>
      <c r="C2" s="56"/>
      <c r="D2" s="56"/>
      <c r="E2" s="56">
        <v>1</v>
      </c>
      <c r="F2" s="56"/>
      <c r="G2" s="56"/>
      <c r="H2" s="56"/>
    </row>
    <row r="3" spans="1:8" s="57" customFormat="1" hidden="1" x14ac:dyDescent="0.3">
      <c r="A3" s="55" t="s">
        <v>97</v>
      </c>
      <c r="B3" s="47" t="s">
        <v>101</v>
      </c>
      <c r="C3" s="56"/>
      <c r="D3" s="56"/>
      <c r="E3" s="56"/>
      <c r="F3" s="56"/>
      <c r="G3" s="56"/>
      <c r="H3" s="56">
        <v>1</v>
      </c>
    </row>
    <row r="4" spans="1:8" s="57" customFormat="1" hidden="1" x14ac:dyDescent="0.3">
      <c r="A4" s="47" t="s">
        <v>41</v>
      </c>
      <c r="B4" s="47" t="s">
        <v>102</v>
      </c>
      <c r="C4" s="56"/>
      <c r="D4" s="56"/>
      <c r="E4" s="56"/>
      <c r="F4" s="56">
        <v>1</v>
      </c>
      <c r="G4" s="56"/>
      <c r="H4" s="56"/>
    </row>
    <row r="5" spans="1:8" s="57" customFormat="1" hidden="1" x14ac:dyDescent="0.3">
      <c r="A5" s="55" t="s">
        <v>58</v>
      </c>
      <c r="B5" s="47" t="s">
        <v>102</v>
      </c>
      <c r="C5" s="56"/>
      <c r="D5" s="56"/>
      <c r="E5" s="56"/>
      <c r="F5" s="56"/>
      <c r="G5" s="56"/>
      <c r="H5" s="56">
        <v>1</v>
      </c>
    </row>
    <row r="6" spans="1:8" s="57" customFormat="1" hidden="1" x14ac:dyDescent="0.3">
      <c r="A6" s="55" t="s">
        <v>77</v>
      </c>
      <c r="B6" s="47" t="s">
        <v>78</v>
      </c>
      <c r="C6" s="56"/>
      <c r="D6" s="56"/>
      <c r="E6" s="56"/>
      <c r="F6" s="56">
        <v>1</v>
      </c>
      <c r="G6" s="56"/>
      <c r="H6" s="56"/>
    </row>
    <row r="7" spans="1:8" s="57" customFormat="1" x14ac:dyDescent="0.3">
      <c r="A7" s="47" t="s">
        <v>103</v>
      </c>
      <c r="B7" s="47" t="s">
        <v>104</v>
      </c>
      <c r="C7" s="56"/>
      <c r="D7" s="56"/>
      <c r="E7" s="56"/>
      <c r="F7" s="56"/>
      <c r="G7" s="56"/>
      <c r="H7" s="56">
        <v>1</v>
      </c>
    </row>
    <row r="8" spans="1:8" s="57" customFormat="1" hidden="1" x14ac:dyDescent="0.3">
      <c r="A8" s="47" t="s">
        <v>60</v>
      </c>
      <c r="B8" s="42" t="s">
        <v>107</v>
      </c>
      <c r="C8" s="56"/>
      <c r="D8" s="56"/>
      <c r="E8" s="56"/>
      <c r="F8" s="56"/>
      <c r="G8" s="56"/>
      <c r="H8" s="56">
        <v>1</v>
      </c>
    </row>
    <row r="9" spans="1:8" s="57" customFormat="1" hidden="1" x14ac:dyDescent="0.3">
      <c r="A9" s="47" t="s">
        <v>83</v>
      </c>
      <c r="B9" s="47" t="s">
        <v>84</v>
      </c>
      <c r="C9" s="56"/>
      <c r="D9" s="56"/>
      <c r="E9" s="56"/>
      <c r="F9" s="56">
        <v>1</v>
      </c>
      <c r="G9" s="56">
        <v>1</v>
      </c>
      <c r="H9" s="56"/>
    </row>
    <row r="10" spans="1:8" s="57" customFormat="1" hidden="1" x14ac:dyDescent="0.3">
      <c r="A10" s="47" t="s">
        <v>113</v>
      </c>
      <c r="B10" s="47" t="s">
        <v>114</v>
      </c>
      <c r="C10" s="56">
        <v>1</v>
      </c>
      <c r="D10" s="56"/>
      <c r="E10" s="56"/>
      <c r="F10" s="56"/>
      <c r="G10" s="56"/>
      <c r="H10" s="56"/>
    </row>
    <row r="11" spans="1:8" s="57" customFormat="1" hidden="1" x14ac:dyDescent="0.3">
      <c r="A11" s="55" t="s">
        <v>89</v>
      </c>
      <c r="B11" s="47" t="s">
        <v>90</v>
      </c>
      <c r="C11" s="56"/>
      <c r="D11" s="56"/>
      <c r="E11" s="56"/>
      <c r="F11" s="56">
        <v>1</v>
      </c>
      <c r="G11" s="56">
        <v>1</v>
      </c>
      <c r="H11" s="56"/>
    </row>
    <row r="12" spans="1:8" s="57" customFormat="1" x14ac:dyDescent="0.3">
      <c r="A12" s="55" t="s">
        <v>126</v>
      </c>
      <c r="B12" s="47" t="s">
        <v>130</v>
      </c>
      <c r="C12" s="56"/>
      <c r="D12" s="56"/>
      <c r="E12" s="56">
        <v>1</v>
      </c>
      <c r="F12" s="56"/>
      <c r="G12" s="56"/>
      <c r="H12" s="56"/>
    </row>
    <row r="13" spans="1:8" s="57" customFormat="1" x14ac:dyDescent="0.3">
      <c r="A13" s="55" t="s">
        <v>136</v>
      </c>
      <c r="B13" s="47" t="s">
        <v>137</v>
      </c>
      <c r="C13" s="56"/>
      <c r="D13" s="56"/>
      <c r="E13" s="56">
        <v>1</v>
      </c>
      <c r="F13" s="56"/>
      <c r="G13" s="56"/>
      <c r="H13" s="56">
        <v>1</v>
      </c>
    </row>
    <row r="14" spans="1:8" s="57" customFormat="1" x14ac:dyDescent="0.3">
      <c r="A14" s="55" t="s">
        <v>138</v>
      </c>
      <c r="B14" s="47" t="s">
        <v>141</v>
      </c>
      <c r="C14" s="56">
        <v>1</v>
      </c>
      <c r="D14" s="56"/>
      <c r="E14" s="56"/>
      <c r="F14" s="56"/>
      <c r="G14" s="56"/>
      <c r="H14" s="56"/>
    </row>
    <row r="15" spans="1:8" x14ac:dyDescent="0.3">
      <c r="A15" s="55" t="s">
        <v>142</v>
      </c>
      <c r="B15" s="47" t="s">
        <v>143</v>
      </c>
      <c r="C15" s="54"/>
      <c r="D15" s="54"/>
      <c r="E15" s="54">
        <v>1</v>
      </c>
      <c r="F15" s="54"/>
      <c r="G15" s="54"/>
      <c r="H15" s="54"/>
    </row>
    <row r="16" spans="1:8" x14ac:dyDescent="0.3">
      <c r="A16" s="55" t="s">
        <v>146</v>
      </c>
      <c r="B16" s="47" t="s">
        <v>147</v>
      </c>
      <c r="C16" s="54"/>
      <c r="D16" s="54"/>
      <c r="E16" s="54"/>
      <c r="F16" s="54"/>
      <c r="G16" s="54">
        <v>1</v>
      </c>
      <c r="H16" s="54"/>
    </row>
    <row r="17" spans="1:8" x14ac:dyDescent="0.3">
      <c r="A17" s="55" t="s">
        <v>153</v>
      </c>
      <c r="B17" s="47" t="s">
        <v>150</v>
      </c>
      <c r="C17" s="54"/>
      <c r="D17" s="54"/>
      <c r="E17" s="54"/>
      <c r="F17" s="54"/>
      <c r="G17" s="54">
        <v>1</v>
      </c>
      <c r="H17" s="54"/>
    </row>
    <row r="18" spans="1:8" x14ac:dyDescent="0.3">
      <c r="A18" s="55" t="s">
        <v>119</v>
      </c>
      <c r="B18" s="42" t="s">
        <v>120</v>
      </c>
      <c r="C18" s="54"/>
      <c r="D18" s="54"/>
      <c r="E18" s="54"/>
      <c r="F18" s="54">
        <v>1</v>
      </c>
      <c r="G18" s="54"/>
      <c r="H18" s="54">
        <v>1</v>
      </c>
    </row>
    <row r="19" spans="1:8" hidden="1" x14ac:dyDescent="0.3">
      <c r="A19" s="47" t="s">
        <v>73</v>
      </c>
      <c r="B19" s="47" t="s">
        <v>159</v>
      </c>
      <c r="C19" s="54"/>
      <c r="D19" s="54">
        <v>1</v>
      </c>
      <c r="E19" s="54"/>
      <c r="F19" s="54"/>
      <c r="G19" s="54"/>
      <c r="H19" s="54"/>
    </row>
    <row r="20" spans="1:8" hidden="1" x14ac:dyDescent="0.3">
      <c r="A20" s="47" t="s">
        <v>163</v>
      </c>
      <c r="B20" s="47" t="s">
        <v>164</v>
      </c>
      <c r="C20" s="54"/>
      <c r="D20" s="54"/>
      <c r="E20" s="54"/>
      <c r="F20" s="54">
        <v>1</v>
      </c>
      <c r="G20" s="54"/>
      <c r="H20" s="54"/>
    </row>
    <row r="21" spans="1:8" hidden="1" x14ac:dyDescent="0.3">
      <c r="A21" s="47" t="s">
        <v>166</v>
      </c>
      <c r="B21" s="47" t="s">
        <v>167</v>
      </c>
      <c r="C21" s="54"/>
      <c r="D21" s="54"/>
      <c r="E21" s="54">
        <v>1</v>
      </c>
      <c r="F21" s="54"/>
      <c r="G21" s="54"/>
      <c r="H21" s="54">
        <v>1</v>
      </c>
    </row>
    <row r="22" spans="1:8" hidden="1" x14ac:dyDescent="0.3">
      <c r="A22" s="47" t="s">
        <v>169</v>
      </c>
      <c r="B22" s="47" t="s">
        <v>170</v>
      </c>
      <c r="C22" s="54"/>
      <c r="D22" s="54"/>
      <c r="E22" s="54">
        <v>1</v>
      </c>
      <c r="F22" s="54"/>
      <c r="G22" s="54"/>
      <c r="H22" s="54"/>
    </row>
    <row r="23" spans="1:8" hidden="1" x14ac:dyDescent="0.3">
      <c r="A23" s="47" t="s">
        <v>111</v>
      </c>
      <c r="B23" s="47" t="s">
        <v>107</v>
      </c>
      <c r="C23" s="54"/>
      <c r="D23" s="54"/>
      <c r="E23" s="54"/>
      <c r="F23" s="54">
        <v>1</v>
      </c>
      <c r="G23" s="54"/>
      <c r="H23" s="54"/>
    </row>
    <row r="24" spans="1:8" x14ac:dyDescent="0.3">
      <c r="A24" s="47" t="s">
        <v>374</v>
      </c>
      <c r="B24" s="47" t="s">
        <v>375</v>
      </c>
      <c r="C24" s="54"/>
      <c r="D24" s="54">
        <v>1</v>
      </c>
      <c r="E24" s="54"/>
      <c r="F24" s="54"/>
      <c r="G24" s="54"/>
      <c r="H24" s="54"/>
    </row>
    <row r="25" spans="1:8" hidden="1" x14ac:dyDescent="0.3">
      <c r="A25" s="47" t="s">
        <v>335</v>
      </c>
      <c r="B25" s="47" t="s">
        <v>376</v>
      </c>
      <c r="C25" s="54"/>
      <c r="D25" s="54"/>
      <c r="E25" s="54">
        <v>1</v>
      </c>
      <c r="F25" s="54"/>
      <c r="G25" s="54"/>
      <c r="H25" s="54"/>
    </row>
    <row r="26" spans="1:8" hidden="1" x14ac:dyDescent="0.3">
      <c r="A26" s="47" t="s">
        <v>378</v>
      </c>
      <c r="B26" s="47" t="s">
        <v>223</v>
      </c>
      <c r="C26" s="54"/>
      <c r="D26" s="54"/>
      <c r="E26" s="54"/>
      <c r="F26" s="54"/>
      <c r="G26" s="54">
        <v>1</v>
      </c>
      <c r="H26" s="54"/>
    </row>
    <row r="27" spans="1:8" hidden="1" x14ac:dyDescent="0.3">
      <c r="A27" s="47" t="s">
        <v>293</v>
      </c>
      <c r="B27" s="47" t="s">
        <v>295</v>
      </c>
      <c r="C27" s="54"/>
      <c r="D27" s="54"/>
      <c r="E27" s="54"/>
      <c r="F27" s="54"/>
      <c r="G27" s="54">
        <v>1</v>
      </c>
      <c r="H27" s="54"/>
    </row>
    <row r="28" spans="1:8" hidden="1" x14ac:dyDescent="0.3">
      <c r="A28" s="47" t="s">
        <v>338</v>
      </c>
      <c r="B28" s="47" t="s">
        <v>235</v>
      </c>
      <c r="C28" s="54"/>
      <c r="D28" s="54"/>
      <c r="E28" s="54"/>
      <c r="F28" s="54">
        <v>1</v>
      </c>
      <c r="G28" s="54"/>
      <c r="H28" s="54"/>
    </row>
    <row r="29" spans="1:8" hidden="1" x14ac:dyDescent="0.3">
      <c r="A29" s="47" t="s">
        <v>302</v>
      </c>
      <c r="B29" s="42" t="s">
        <v>381</v>
      </c>
      <c r="C29" s="54"/>
      <c r="D29" s="54"/>
      <c r="E29" s="54">
        <v>1</v>
      </c>
      <c r="F29" s="54"/>
      <c r="G29" s="54"/>
      <c r="H29" s="54"/>
    </row>
    <row r="30" spans="1:8" hidden="1" x14ac:dyDescent="0.3">
      <c r="A30" s="61" t="s">
        <v>156</v>
      </c>
      <c r="B30" s="42" t="s">
        <v>157</v>
      </c>
      <c r="C30" s="54"/>
      <c r="D30" s="54"/>
      <c r="E30" s="54"/>
      <c r="F30" s="54"/>
      <c r="G30" s="54">
        <v>1</v>
      </c>
      <c r="H30" s="54"/>
    </row>
    <row r="31" spans="1:8" x14ac:dyDescent="0.3">
      <c r="A31" s="47" t="s">
        <v>384</v>
      </c>
      <c r="B31" s="47" t="s">
        <v>114</v>
      </c>
      <c r="C31" s="54"/>
      <c r="D31" s="54">
        <v>1</v>
      </c>
      <c r="E31" s="54"/>
      <c r="F31" s="54">
        <v>1</v>
      </c>
      <c r="G31" s="54"/>
      <c r="H31" s="54"/>
    </row>
    <row r="32" spans="1:8" x14ac:dyDescent="0.3">
      <c r="A32" s="42" t="s">
        <v>388</v>
      </c>
      <c r="B32" s="42" t="s">
        <v>389</v>
      </c>
      <c r="C32" s="54"/>
      <c r="D32" s="54"/>
      <c r="E32" s="54"/>
      <c r="F32" s="54"/>
      <c r="G32" s="54"/>
      <c r="H32" s="54">
        <v>1</v>
      </c>
    </row>
    <row r="33" spans="1:8" x14ac:dyDescent="0.3">
      <c r="A33" s="47"/>
      <c r="B33" s="47"/>
      <c r="C33" s="54"/>
      <c r="D33" s="54"/>
      <c r="E33" s="54"/>
      <c r="F33" s="54"/>
      <c r="G33" s="54"/>
      <c r="H33" s="54"/>
    </row>
    <row r="34" spans="1:8" x14ac:dyDescent="0.3">
      <c r="A34" s="47"/>
      <c r="B34" s="47"/>
      <c r="C34" s="54"/>
      <c r="D34" s="54"/>
      <c r="E34" s="54"/>
      <c r="F34" s="54"/>
      <c r="G34" s="54"/>
      <c r="H34" s="54"/>
    </row>
    <row r="35" spans="1:8" x14ac:dyDescent="0.3">
      <c r="A35" s="47"/>
      <c r="B35" s="47"/>
      <c r="C35" s="54"/>
      <c r="D35" s="54"/>
      <c r="E35" s="54"/>
      <c r="F35" s="54"/>
      <c r="G35" s="54"/>
      <c r="H35" s="54"/>
    </row>
    <row r="36" spans="1:8" x14ac:dyDescent="0.3">
      <c r="A36" s="97"/>
      <c r="B36" s="97"/>
      <c r="C36" s="98"/>
      <c r="D36" s="98"/>
      <c r="E36" s="98"/>
      <c r="F36" s="98"/>
      <c r="G36" s="98"/>
      <c r="H36" s="98"/>
    </row>
    <row r="37" spans="1:8" x14ac:dyDescent="0.3">
      <c r="A37" s="97"/>
      <c r="B37" s="97"/>
      <c r="C37" s="98"/>
      <c r="D37" s="98"/>
      <c r="E37" s="98"/>
      <c r="F37" s="98"/>
      <c r="G37" s="98"/>
      <c r="H37" s="98"/>
    </row>
    <row r="38" spans="1:8" x14ac:dyDescent="0.3">
      <c r="A38" s="97"/>
      <c r="B38" s="97"/>
      <c r="C38" s="98"/>
      <c r="D38" s="98"/>
      <c r="E38" s="98"/>
      <c r="F38" s="98"/>
      <c r="G38" s="98"/>
      <c r="H38" s="98"/>
    </row>
    <row r="39" spans="1:8" x14ac:dyDescent="0.3">
      <c r="A39" s="97"/>
      <c r="B39" s="97"/>
      <c r="C39" s="98"/>
      <c r="D39" s="98"/>
      <c r="E39" s="98"/>
      <c r="F39" s="98"/>
      <c r="G39" s="98"/>
      <c r="H39" s="98"/>
    </row>
    <row r="40" spans="1:8" x14ac:dyDescent="0.3">
      <c r="A40" s="97"/>
      <c r="B40" s="97"/>
      <c r="C40" s="98"/>
      <c r="D40" s="98"/>
      <c r="E40" s="98"/>
      <c r="F40" s="98"/>
      <c r="G40" s="98"/>
      <c r="H40" s="98"/>
    </row>
    <row r="41" spans="1:8" x14ac:dyDescent="0.3">
      <c r="A41" s="97"/>
      <c r="B41" s="97"/>
      <c r="C41" s="98"/>
      <c r="D41" s="98"/>
      <c r="E41" s="98"/>
      <c r="F41" s="98"/>
      <c r="G41" s="98"/>
      <c r="H41" s="98"/>
    </row>
    <row r="42" spans="1:8" x14ac:dyDescent="0.3">
      <c r="A42" s="97"/>
      <c r="B42" s="97"/>
      <c r="C42" s="98"/>
      <c r="D42" s="98"/>
      <c r="E42" s="98"/>
      <c r="F42" s="98"/>
      <c r="G42" s="98"/>
      <c r="H42" s="98"/>
    </row>
    <row r="43" spans="1:8" x14ac:dyDescent="0.3">
      <c r="A43" s="97"/>
      <c r="B43" s="97"/>
      <c r="C43" s="98"/>
      <c r="D43" s="98"/>
      <c r="E43" s="98"/>
      <c r="F43" s="98"/>
      <c r="G43" s="98"/>
      <c r="H43" s="98"/>
    </row>
    <row r="44" spans="1:8" x14ac:dyDescent="0.3">
      <c r="A44" s="97"/>
      <c r="B44" s="97"/>
      <c r="C44" s="98"/>
      <c r="D44" s="98"/>
      <c r="E44" s="98"/>
      <c r="F44" s="98"/>
      <c r="G44" s="98"/>
      <c r="H44" s="98"/>
    </row>
    <row r="45" spans="1:8" x14ac:dyDescent="0.3">
      <c r="A45" s="97"/>
      <c r="B45" s="97"/>
      <c r="C45" s="98"/>
      <c r="D45" s="98"/>
      <c r="E45" s="98"/>
      <c r="F45" s="98"/>
      <c r="G45" s="98"/>
      <c r="H45" s="98"/>
    </row>
    <row r="46" spans="1:8" x14ac:dyDescent="0.3">
      <c r="A46" s="97"/>
      <c r="B46" s="97"/>
      <c r="C46" s="98"/>
      <c r="D46" s="98"/>
      <c r="E46" s="98"/>
      <c r="F46" s="98"/>
      <c r="G46" s="98"/>
      <c r="H46" s="98"/>
    </row>
    <row r="47" spans="1:8" x14ac:dyDescent="0.3">
      <c r="A47" s="97"/>
      <c r="B47" s="97"/>
      <c r="C47" s="98"/>
      <c r="D47" s="98"/>
      <c r="E47" s="98"/>
      <c r="F47" s="98"/>
      <c r="G47" s="98"/>
      <c r="H47" s="98"/>
    </row>
    <row r="48" spans="1:8" x14ac:dyDescent="0.3">
      <c r="A48" s="97"/>
      <c r="B48" s="97"/>
      <c r="C48" s="98"/>
      <c r="D48" s="98"/>
      <c r="E48" s="98"/>
      <c r="F48" s="98"/>
      <c r="G48" s="98"/>
      <c r="H48" s="98"/>
    </row>
  </sheetData>
  <autoFilter ref="A1:H30" xr:uid="{15F5F886-4EDE-459E-B587-484A84BFDFBD}">
    <filterColumn colId="0">
      <filters>
        <filter val="OP04, 05 OCT"/>
        <filter val="OP05-50 SEP"/>
        <filter val="OP15-16-23 SEP"/>
        <filter val="OP25 AGO"/>
        <filter val="OP51 SEP"/>
        <filter val="OP52 SEP"/>
        <filter val="OP54 SEP"/>
        <filter val="OP55-56 SEP"/>
        <filter val="OP57 SEP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9320-378E-40EB-A1BB-7E3577D6A8D5}">
  <dimension ref="A1:P292"/>
  <sheetViews>
    <sheetView tabSelected="1" zoomScale="90" zoomScaleNormal="90" workbookViewId="0">
      <pane ySplit="1" topLeftCell="A273" activePane="bottomLeft" state="frozen"/>
      <selection pane="bottomLeft" activeCell="G252" sqref="G252"/>
    </sheetView>
  </sheetViews>
  <sheetFormatPr baseColWidth="10" defaultRowHeight="14.4" x14ac:dyDescent="0.3"/>
  <cols>
    <col min="1" max="3" width="17.33203125" style="78" customWidth="1"/>
    <col min="4" max="4" width="19.5546875" style="78" customWidth="1"/>
    <col min="5" max="5" width="26.109375" style="78" customWidth="1"/>
    <col min="6" max="6" width="68.44140625" style="52" customWidth="1"/>
    <col min="7" max="7" width="40" customWidth="1"/>
    <col min="8" max="8" width="22.88671875" hidden="1" customWidth="1"/>
    <col min="9" max="10" width="0" hidden="1" customWidth="1"/>
    <col min="12" max="12" width="12.5546875" customWidth="1"/>
    <col min="13" max="13" width="17.88671875" customWidth="1"/>
    <col min="14" max="14" width="31.44140625" customWidth="1"/>
    <col min="15" max="15" width="20.5546875" customWidth="1"/>
    <col min="16" max="16" width="28.44140625" customWidth="1"/>
  </cols>
  <sheetData>
    <row r="1" spans="1:16" ht="24.75" customHeight="1" thickBot="1" x14ac:dyDescent="0.35">
      <c r="A1" s="62" t="s">
        <v>171</v>
      </c>
      <c r="B1" s="63" t="s">
        <v>172</v>
      </c>
      <c r="C1" s="62" t="s">
        <v>173</v>
      </c>
      <c r="D1" s="63" t="s">
        <v>174</v>
      </c>
      <c r="E1" s="62" t="s">
        <v>175</v>
      </c>
      <c r="F1" s="64" t="s">
        <v>176</v>
      </c>
      <c r="G1" s="65" t="s">
        <v>30</v>
      </c>
    </row>
    <row r="2" spans="1:16" ht="15" thickBot="1" x14ac:dyDescent="0.35">
      <c r="A2" s="119">
        <v>46296</v>
      </c>
      <c r="B2" s="125"/>
      <c r="C2" s="125"/>
      <c r="D2" s="125"/>
      <c r="E2" s="125"/>
      <c r="F2" s="125"/>
      <c r="G2" s="126"/>
      <c r="H2" s="127" t="s">
        <v>177</v>
      </c>
      <c r="I2" s="128"/>
    </row>
    <row r="3" spans="1:16" x14ac:dyDescent="0.3">
      <c r="A3" s="66" t="s">
        <v>142</v>
      </c>
      <c r="B3" s="66">
        <v>3</v>
      </c>
      <c r="C3" s="66">
        <v>5556</v>
      </c>
      <c r="D3" s="66" t="s">
        <v>178</v>
      </c>
      <c r="E3" s="66" t="s">
        <v>179</v>
      </c>
      <c r="F3" s="67" t="s">
        <v>180</v>
      </c>
      <c r="G3" s="42" t="s">
        <v>181</v>
      </c>
      <c r="H3" s="68" t="s">
        <v>175</v>
      </c>
      <c r="I3" s="69" t="s">
        <v>182</v>
      </c>
    </row>
    <row r="4" spans="1:16" x14ac:dyDescent="0.3">
      <c r="A4" s="70" t="s">
        <v>183</v>
      </c>
      <c r="B4" s="70">
        <f>SUM(B3)</f>
        <v>3</v>
      </c>
      <c r="C4" s="66"/>
      <c r="D4" s="66"/>
      <c r="E4" s="66"/>
      <c r="F4" s="67"/>
      <c r="G4" s="42"/>
      <c r="H4" s="71" t="s">
        <v>179</v>
      </c>
      <c r="I4" s="66">
        <f xml:space="preserve"> SUMIF(E:E, "JUAN",B:B)</f>
        <v>30</v>
      </c>
      <c r="L4" s="72" t="s">
        <v>184</v>
      </c>
      <c r="M4" s="72" t="s">
        <v>185</v>
      </c>
      <c r="N4" s="72" t="s">
        <v>186</v>
      </c>
      <c r="O4" s="72" t="s">
        <v>187</v>
      </c>
      <c r="P4" s="72" t="s">
        <v>188</v>
      </c>
    </row>
    <row r="5" spans="1:16" x14ac:dyDescent="0.3">
      <c r="A5" s="66" t="s">
        <v>189</v>
      </c>
      <c r="B5" s="66">
        <v>1</v>
      </c>
      <c r="C5" s="66">
        <v>3333</v>
      </c>
      <c r="D5" s="66" t="s">
        <v>190</v>
      </c>
      <c r="E5" s="66" t="s">
        <v>191</v>
      </c>
      <c r="F5" s="67" t="s">
        <v>192</v>
      </c>
      <c r="G5" s="42" t="s">
        <v>193</v>
      </c>
      <c r="H5" s="71" t="s">
        <v>191</v>
      </c>
      <c r="I5" s="66">
        <f xml:space="preserve"> SUMIF(E:E, "BRYAN",B:B)</f>
        <v>63.5</v>
      </c>
      <c r="L5" s="73">
        <v>46296</v>
      </c>
      <c r="M5" s="54">
        <f>B4+B7</f>
        <v>8</v>
      </c>
      <c r="N5" s="42" t="s">
        <v>194</v>
      </c>
      <c r="O5" s="54"/>
      <c r="P5" s="42"/>
    </row>
    <row r="6" spans="1:16" x14ac:dyDescent="0.3">
      <c r="A6" s="66" t="s">
        <v>80</v>
      </c>
      <c r="B6" s="66">
        <v>4</v>
      </c>
      <c r="C6" s="66">
        <v>1205</v>
      </c>
      <c r="D6" s="66" t="s">
        <v>195</v>
      </c>
      <c r="E6" s="66" t="s">
        <v>191</v>
      </c>
      <c r="F6" s="67" t="s">
        <v>196</v>
      </c>
      <c r="G6" s="42"/>
      <c r="H6" s="71" t="s">
        <v>50</v>
      </c>
      <c r="I6" s="66">
        <f xml:space="preserve"> SUMIF(E:E, "ALEXANDER",B:B)</f>
        <v>48.5</v>
      </c>
      <c r="L6" s="73">
        <v>46297</v>
      </c>
      <c r="M6" s="54">
        <f>B12+B14+B19</f>
        <v>10</v>
      </c>
      <c r="N6" s="42" t="s">
        <v>197</v>
      </c>
      <c r="O6" s="54"/>
      <c r="P6" s="42"/>
    </row>
    <row r="7" spans="1:16" x14ac:dyDescent="0.3">
      <c r="A7" s="70" t="s">
        <v>183</v>
      </c>
      <c r="B7" s="70">
        <f>SUM(B5:B6)</f>
        <v>5</v>
      </c>
      <c r="C7" s="66"/>
      <c r="D7" s="66"/>
      <c r="E7" s="66"/>
      <c r="F7" s="67"/>
      <c r="G7" s="42"/>
      <c r="H7" s="74" t="s">
        <v>194</v>
      </c>
      <c r="I7" s="66">
        <f xml:space="preserve"> SUMIF(E:E, "JUAN-BRYAN",B:B)</f>
        <v>1</v>
      </c>
      <c r="L7" s="73">
        <v>46298</v>
      </c>
      <c r="M7" s="54">
        <f>B25</f>
        <v>4</v>
      </c>
      <c r="N7" s="42" t="s">
        <v>179</v>
      </c>
      <c r="O7" s="54"/>
      <c r="P7" s="42"/>
    </row>
    <row r="8" spans="1:16" x14ac:dyDescent="0.3">
      <c r="A8" s="66"/>
      <c r="B8" s="66"/>
      <c r="C8" s="66"/>
      <c r="D8" s="66"/>
      <c r="E8" s="66"/>
      <c r="F8" s="67"/>
      <c r="G8" s="42"/>
      <c r="H8" s="74" t="s">
        <v>198</v>
      </c>
      <c r="I8" s="66">
        <f xml:space="preserve"> SUMIF(E:E, "ALEXANDER-BRYAN",B:B)</f>
        <v>1</v>
      </c>
      <c r="L8" s="73"/>
      <c r="M8" s="54"/>
      <c r="N8" s="42"/>
      <c r="O8" s="54"/>
      <c r="P8" s="42"/>
    </row>
    <row r="9" spans="1:16" x14ac:dyDescent="0.3">
      <c r="A9" s="119">
        <v>46297</v>
      </c>
      <c r="B9" s="120"/>
      <c r="C9" s="120"/>
      <c r="D9" s="120"/>
      <c r="E9" s="120"/>
      <c r="F9" s="120"/>
      <c r="G9" s="121"/>
      <c r="L9" s="73">
        <v>46300</v>
      </c>
      <c r="M9" s="54">
        <f>B32+B37</f>
        <v>15</v>
      </c>
      <c r="N9" s="42" t="s">
        <v>198</v>
      </c>
      <c r="O9" s="54">
        <f>B46</f>
        <v>18</v>
      </c>
      <c r="P9" s="42" t="s">
        <v>179</v>
      </c>
    </row>
    <row r="10" spans="1:16" x14ac:dyDescent="0.3">
      <c r="A10" s="66" t="s">
        <v>199</v>
      </c>
      <c r="B10" s="66">
        <v>2</v>
      </c>
      <c r="C10" s="66">
        <v>1667</v>
      </c>
      <c r="D10" s="66" t="s">
        <v>190</v>
      </c>
      <c r="E10" s="66" t="s">
        <v>191</v>
      </c>
      <c r="F10" s="67" t="s">
        <v>200</v>
      </c>
      <c r="G10" s="42"/>
      <c r="L10" s="73">
        <v>46301</v>
      </c>
      <c r="M10" s="54">
        <f>B50</f>
        <v>5</v>
      </c>
      <c r="N10" s="42" t="s">
        <v>191</v>
      </c>
      <c r="O10" s="54">
        <f>B60</f>
        <v>13</v>
      </c>
      <c r="P10" s="42" t="s">
        <v>179</v>
      </c>
    </row>
    <row r="11" spans="1:16" ht="15" thickBot="1" x14ac:dyDescent="0.35">
      <c r="A11" s="66" t="s">
        <v>80</v>
      </c>
      <c r="B11" s="66">
        <v>1</v>
      </c>
      <c r="C11" s="66">
        <v>1205</v>
      </c>
      <c r="D11" s="66" t="s">
        <v>195</v>
      </c>
      <c r="E11" s="66" t="s">
        <v>191</v>
      </c>
      <c r="F11" s="67" t="s">
        <v>196</v>
      </c>
      <c r="G11" s="42"/>
      <c r="L11" s="73">
        <v>46302</v>
      </c>
      <c r="M11" s="54">
        <f>B64+B68</f>
        <v>16</v>
      </c>
      <c r="N11" s="42" t="s">
        <v>198</v>
      </c>
      <c r="O11" s="54"/>
      <c r="P11" s="42"/>
    </row>
    <row r="12" spans="1:16" ht="15" thickBot="1" x14ac:dyDescent="0.35">
      <c r="A12" s="70" t="s">
        <v>183</v>
      </c>
      <c r="B12" s="70">
        <f>SUM(B10:B11)</f>
        <v>3</v>
      </c>
      <c r="C12" s="66"/>
      <c r="D12" s="66"/>
      <c r="E12" s="66"/>
      <c r="F12" s="67"/>
      <c r="G12" s="42"/>
      <c r="H12" s="127" t="s">
        <v>187</v>
      </c>
      <c r="I12" s="128"/>
      <c r="L12" s="73">
        <v>46303</v>
      </c>
      <c r="M12" s="54">
        <f>B75+B82</f>
        <v>15</v>
      </c>
      <c r="N12" s="42" t="s">
        <v>198</v>
      </c>
      <c r="O12" s="54">
        <f>B89</f>
        <v>14</v>
      </c>
      <c r="P12" s="42" t="s">
        <v>179</v>
      </c>
    </row>
    <row r="13" spans="1:16" x14ac:dyDescent="0.3">
      <c r="A13" s="66" t="s">
        <v>201</v>
      </c>
      <c r="B13" s="66">
        <v>2</v>
      </c>
      <c r="C13" s="66">
        <v>5556</v>
      </c>
      <c r="D13" s="66" t="s">
        <v>202</v>
      </c>
      <c r="E13" s="66" t="s">
        <v>50</v>
      </c>
      <c r="F13" s="67" t="s">
        <v>180</v>
      </c>
      <c r="G13" s="42"/>
      <c r="H13" s="75" t="s">
        <v>175</v>
      </c>
      <c r="I13" s="69" t="s">
        <v>182</v>
      </c>
      <c r="L13" s="73">
        <v>46304</v>
      </c>
      <c r="M13" s="54">
        <f>B92+B98</f>
        <v>6.5</v>
      </c>
      <c r="N13" s="42" t="s">
        <v>198</v>
      </c>
      <c r="O13" s="54">
        <f>B108</f>
        <v>15</v>
      </c>
      <c r="P13" s="42" t="s">
        <v>179</v>
      </c>
    </row>
    <row r="14" spans="1:16" x14ac:dyDescent="0.3">
      <c r="A14" s="70" t="s">
        <v>183</v>
      </c>
      <c r="B14" s="70">
        <f>SUM(B13)</f>
        <v>2</v>
      </c>
      <c r="C14" s="66"/>
      <c r="D14" s="66"/>
      <c r="E14" s="66"/>
      <c r="F14" s="67"/>
      <c r="G14" s="42"/>
      <c r="H14" s="74" t="s">
        <v>179</v>
      </c>
      <c r="I14" s="66">
        <f xml:space="preserve"> SUMIF(E:E, "JUAN-VELADA",B:B)</f>
        <v>145</v>
      </c>
      <c r="L14" s="73"/>
      <c r="M14" s="54"/>
      <c r="N14" s="42"/>
      <c r="O14" s="54"/>
      <c r="P14" s="42"/>
    </row>
    <row r="15" spans="1:16" x14ac:dyDescent="0.3">
      <c r="A15" s="66" t="s">
        <v>201</v>
      </c>
      <c r="B15" s="66">
        <v>1</v>
      </c>
      <c r="C15" s="66">
        <v>5200</v>
      </c>
      <c r="D15" s="66" t="s">
        <v>202</v>
      </c>
      <c r="E15" s="66" t="s">
        <v>179</v>
      </c>
      <c r="F15" s="67" t="s">
        <v>180</v>
      </c>
      <c r="G15" s="42"/>
      <c r="H15" s="74" t="s">
        <v>50</v>
      </c>
      <c r="I15" s="66">
        <f xml:space="preserve"> SUMIF(E:E, "ALEXANDER-VELADA",B:B)</f>
        <v>95</v>
      </c>
      <c r="L15" s="73">
        <v>46307</v>
      </c>
      <c r="M15" s="54">
        <f>B114+B117</f>
        <v>6</v>
      </c>
      <c r="N15" s="42" t="s">
        <v>194</v>
      </c>
      <c r="O15" s="54">
        <f>B124</f>
        <v>21</v>
      </c>
      <c r="P15" s="42" t="s">
        <v>50</v>
      </c>
    </row>
    <row r="16" spans="1:16" x14ac:dyDescent="0.3">
      <c r="A16" s="66" t="s">
        <v>201</v>
      </c>
      <c r="B16" s="66">
        <v>1</v>
      </c>
      <c r="C16" s="66">
        <v>3055</v>
      </c>
      <c r="D16" s="66" t="s">
        <v>203</v>
      </c>
      <c r="E16" s="66" t="s">
        <v>179</v>
      </c>
      <c r="F16" s="67" t="s">
        <v>180</v>
      </c>
      <c r="G16" s="42"/>
      <c r="L16" s="73">
        <v>46308</v>
      </c>
      <c r="M16" s="54"/>
      <c r="N16" s="42"/>
      <c r="O16" s="54"/>
      <c r="P16" s="42"/>
    </row>
    <row r="17" spans="1:16" x14ac:dyDescent="0.3">
      <c r="A17" s="66" t="s">
        <v>201</v>
      </c>
      <c r="B17" s="66">
        <v>1</v>
      </c>
      <c r="C17" s="66">
        <v>2495</v>
      </c>
      <c r="D17" s="66" t="s">
        <v>203</v>
      </c>
      <c r="E17" s="66" t="s">
        <v>179</v>
      </c>
      <c r="F17" s="67" t="s">
        <v>180</v>
      </c>
      <c r="G17" s="42"/>
      <c r="L17" s="73">
        <v>46309</v>
      </c>
      <c r="M17" s="66"/>
      <c r="N17" s="42"/>
      <c r="O17" s="66"/>
      <c r="P17" s="42"/>
    </row>
    <row r="18" spans="1:16" x14ac:dyDescent="0.3">
      <c r="A18" s="66" t="s">
        <v>201</v>
      </c>
      <c r="B18" s="66">
        <v>2</v>
      </c>
      <c r="C18" s="66">
        <v>5556</v>
      </c>
      <c r="D18" s="66" t="s">
        <v>203</v>
      </c>
      <c r="E18" s="66" t="s">
        <v>179</v>
      </c>
      <c r="F18" s="67" t="s">
        <v>180</v>
      </c>
      <c r="G18" s="42"/>
      <c r="L18" s="73">
        <v>46310</v>
      </c>
      <c r="M18" s="66"/>
      <c r="N18" s="42"/>
      <c r="O18" s="66"/>
      <c r="P18" s="42"/>
    </row>
    <row r="19" spans="1:16" x14ac:dyDescent="0.3">
      <c r="A19" s="70" t="s">
        <v>183</v>
      </c>
      <c r="B19" s="70">
        <f>SUM(B15:B18)</f>
        <v>5</v>
      </c>
      <c r="C19" s="66"/>
      <c r="D19" s="66"/>
      <c r="E19" s="66"/>
      <c r="F19" s="67"/>
      <c r="G19" s="42"/>
      <c r="L19" s="73">
        <v>46311</v>
      </c>
      <c r="M19" s="42"/>
      <c r="N19" s="42"/>
      <c r="O19" s="42"/>
      <c r="P19" s="42"/>
    </row>
    <row r="20" spans="1:16" x14ac:dyDescent="0.3">
      <c r="A20" s="119">
        <v>46298</v>
      </c>
      <c r="B20" s="120"/>
      <c r="C20" s="120"/>
      <c r="D20" s="120"/>
      <c r="E20" s="120"/>
      <c r="F20" s="120"/>
      <c r="G20" s="121"/>
      <c r="L20" s="42"/>
      <c r="M20" s="42"/>
      <c r="N20" s="42"/>
      <c r="O20" s="42"/>
      <c r="P20" s="42"/>
    </row>
    <row r="21" spans="1:16" x14ac:dyDescent="0.3">
      <c r="A21" s="66" t="s">
        <v>204</v>
      </c>
      <c r="B21" s="66">
        <v>1</v>
      </c>
      <c r="C21" s="66">
        <v>3333</v>
      </c>
      <c r="D21" s="66" t="s">
        <v>205</v>
      </c>
      <c r="E21" s="66" t="s">
        <v>179</v>
      </c>
      <c r="F21" s="67" t="s">
        <v>206</v>
      </c>
      <c r="G21" s="42" t="s">
        <v>207</v>
      </c>
      <c r="L21" s="42"/>
      <c r="M21" s="42"/>
      <c r="N21" s="42"/>
      <c r="O21" s="42"/>
      <c r="P21" s="42"/>
    </row>
    <row r="22" spans="1:16" x14ac:dyDescent="0.3">
      <c r="A22" s="66" t="s">
        <v>204</v>
      </c>
      <c r="B22" s="66">
        <v>1</v>
      </c>
      <c r="C22" s="66">
        <v>3333</v>
      </c>
      <c r="D22" s="66" t="s">
        <v>208</v>
      </c>
      <c r="E22" s="66" t="s">
        <v>179</v>
      </c>
      <c r="F22" s="67" t="s">
        <v>206</v>
      </c>
      <c r="G22" s="42"/>
      <c r="L22" s="42"/>
      <c r="M22" s="42"/>
      <c r="N22" s="42"/>
      <c r="O22" s="42"/>
      <c r="P22" s="42"/>
    </row>
    <row r="23" spans="1:16" x14ac:dyDescent="0.3">
      <c r="A23" s="66" t="s">
        <v>209</v>
      </c>
      <c r="B23" s="66">
        <v>1</v>
      </c>
      <c r="C23" s="66">
        <v>16667</v>
      </c>
      <c r="D23" s="66" t="s">
        <v>210</v>
      </c>
      <c r="E23" s="66" t="s">
        <v>179</v>
      </c>
      <c r="F23" s="67" t="s">
        <v>211</v>
      </c>
      <c r="G23" s="42"/>
      <c r="L23" s="42"/>
      <c r="M23" s="42"/>
      <c r="N23" s="42"/>
      <c r="O23" s="42"/>
      <c r="P23" s="42"/>
    </row>
    <row r="24" spans="1:16" x14ac:dyDescent="0.3">
      <c r="A24" s="66" t="s">
        <v>212</v>
      </c>
      <c r="B24" s="66">
        <v>1</v>
      </c>
      <c r="C24" s="66">
        <v>1333</v>
      </c>
      <c r="D24" s="66" t="s">
        <v>213</v>
      </c>
      <c r="E24" s="66" t="s">
        <v>179</v>
      </c>
      <c r="F24" s="67" t="s">
        <v>211</v>
      </c>
      <c r="G24" s="42"/>
    </row>
    <row r="25" spans="1:16" x14ac:dyDescent="0.3">
      <c r="A25" s="70" t="s">
        <v>183</v>
      </c>
      <c r="B25" s="70">
        <f>SUM(B21:B24)</f>
        <v>4</v>
      </c>
      <c r="C25" s="66"/>
      <c r="D25" s="66"/>
      <c r="E25" s="66"/>
      <c r="F25" s="67"/>
      <c r="G25" s="42"/>
    </row>
    <row r="26" spans="1:16" x14ac:dyDescent="0.3">
      <c r="A26" s="119">
        <v>46300</v>
      </c>
      <c r="B26" s="120"/>
      <c r="C26" s="120"/>
      <c r="D26" s="120"/>
      <c r="E26" s="120"/>
      <c r="F26" s="120"/>
      <c r="G26" s="121"/>
    </row>
    <row r="27" spans="1:16" x14ac:dyDescent="0.3">
      <c r="A27" s="66" t="s">
        <v>142</v>
      </c>
      <c r="B27" s="66">
        <v>1</v>
      </c>
      <c r="C27" s="66">
        <v>5437</v>
      </c>
      <c r="D27" s="66" t="s">
        <v>214</v>
      </c>
      <c r="E27" s="66" t="s">
        <v>50</v>
      </c>
      <c r="F27" s="67" t="s">
        <v>180</v>
      </c>
      <c r="G27" s="42"/>
    </row>
    <row r="28" spans="1:16" x14ac:dyDescent="0.3">
      <c r="A28" s="66" t="s">
        <v>142</v>
      </c>
      <c r="B28" s="66">
        <v>1</v>
      </c>
      <c r="C28" s="66">
        <v>5556</v>
      </c>
      <c r="D28" s="66" t="s">
        <v>214</v>
      </c>
      <c r="E28" s="66" t="s">
        <v>50</v>
      </c>
      <c r="F28" s="67" t="s">
        <v>180</v>
      </c>
      <c r="G28" s="42"/>
    </row>
    <row r="29" spans="1:16" x14ac:dyDescent="0.3">
      <c r="A29" s="66" t="s">
        <v>142</v>
      </c>
      <c r="B29" s="66">
        <v>1</v>
      </c>
      <c r="C29" s="66">
        <v>3717</v>
      </c>
      <c r="D29" s="66" t="s">
        <v>214</v>
      </c>
      <c r="E29" s="66" t="s">
        <v>50</v>
      </c>
      <c r="F29" s="67" t="s">
        <v>180</v>
      </c>
      <c r="G29" s="42"/>
    </row>
    <row r="30" spans="1:16" x14ac:dyDescent="0.3">
      <c r="A30" s="66" t="s">
        <v>142</v>
      </c>
      <c r="B30" s="66">
        <v>1</v>
      </c>
      <c r="C30" s="66">
        <v>1839</v>
      </c>
      <c r="D30" s="66" t="s">
        <v>214</v>
      </c>
      <c r="E30" s="66" t="s">
        <v>50</v>
      </c>
      <c r="F30" s="67" t="s">
        <v>180</v>
      </c>
      <c r="G30" s="42"/>
    </row>
    <row r="31" spans="1:16" x14ac:dyDescent="0.3">
      <c r="A31" s="66" t="s">
        <v>83</v>
      </c>
      <c r="B31" s="66">
        <v>1</v>
      </c>
      <c r="C31" s="66">
        <v>2128</v>
      </c>
      <c r="D31" s="66" t="s">
        <v>215</v>
      </c>
      <c r="E31" s="66" t="s">
        <v>50</v>
      </c>
      <c r="F31" s="67" t="s">
        <v>84</v>
      </c>
      <c r="G31" s="42"/>
    </row>
    <row r="32" spans="1:16" x14ac:dyDescent="0.3">
      <c r="A32" s="70" t="s">
        <v>183</v>
      </c>
      <c r="B32" s="70">
        <f>SUM(B27:B31)</f>
        <v>5</v>
      </c>
      <c r="C32" s="66"/>
      <c r="D32" s="66"/>
      <c r="E32" s="66"/>
      <c r="F32" s="67"/>
      <c r="G32" s="42"/>
    </row>
    <row r="33" spans="1:7" x14ac:dyDescent="0.3">
      <c r="A33" s="66" t="s">
        <v>209</v>
      </c>
      <c r="B33" s="66">
        <v>2</v>
      </c>
      <c r="C33" s="66">
        <v>16667</v>
      </c>
      <c r="D33" s="66" t="s">
        <v>214</v>
      </c>
      <c r="E33" s="66" t="s">
        <v>191</v>
      </c>
      <c r="F33" s="67" t="s">
        <v>211</v>
      </c>
      <c r="G33" s="42"/>
    </row>
    <row r="34" spans="1:7" x14ac:dyDescent="0.3">
      <c r="A34" s="66" t="s">
        <v>212</v>
      </c>
      <c r="B34" s="66">
        <v>1</v>
      </c>
      <c r="C34" s="66">
        <v>13333</v>
      </c>
      <c r="D34" s="66" t="s">
        <v>216</v>
      </c>
      <c r="E34" s="66" t="s">
        <v>191</v>
      </c>
      <c r="F34" s="67" t="s">
        <v>211</v>
      </c>
      <c r="G34" s="42"/>
    </row>
    <row r="35" spans="1:7" x14ac:dyDescent="0.3">
      <c r="A35" s="66" t="s">
        <v>80</v>
      </c>
      <c r="B35" s="66">
        <v>3</v>
      </c>
      <c r="C35" s="66">
        <v>1205</v>
      </c>
      <c r="D35" s="66" t="s">
        <v>195</v>
      </c>
      <c r="E35" s="66" t="s">
        <v>191</v>
      </c>
      <c r="F35" s="67" t="s">
        <v>196</v>
      </c>
      <c r="G35" s="42"/>
    </row>
    <row r="36" spans="1:7" x14ac:dyDescent="0.3">
      <c r="A36" s="66" t="s">
        <v>57</v>
      </c>
      <c r="B36" s="66">
        <v>4</v>
      </c>
      <c r="C36" s="66">
        <v>2811</v>
      </c>
      <c r="D36" s="66" t="s">
        <v>195</v>
      </c>
      <c r="E36" s="66" t="s">
        <v>191</v>
      </c>
      <c r="F36" s="67" t="s">
        <v>217</v>
      </c>
      <c r="G36" s="42"/>
    </row>
    <row r="37" spans="1:7" x14ac:dyDescent="0.3">
      <c r="A37" s="70" t="s">
        <v>183</v>
      </c>
      <c r="B37" s="70">
        <f>SUM(B33:B36)</f>
        <v>10</v>
      </c>
      <c r="C37" s="66"/>
      <c r="D37" s="66"/>
      <c r="E37" s="66"/>
      <c r="F37" s="67"/>
      <c r="G37" s="42"/>
    </row>
    <row r="38" spans="1:7" x14ac:dyDescent="0.3">
      <c r="A38" s="66" t="s">
        <v>218</v>
      </c>
      <c r="B38" s="66">
        <v>2</v>
      </c>
      <c r="C38" s="66">
        <v>663</v>
      </c>
      <c r="D38" s="66" t="s">
        <v>219</v>
      </c>
      <c r="E38" s="66" t="s">
        <v>220</v>
      </c>
      <c r="F38" s="67" t="s">
        <v>221</v>
      </c>
      <c r="G38" s="42"/>
    </row>
    <row r="39" spans="1:7" x14ac:dyDescent="0.3">
      <c r="A39" s="66" t="s">
        <v>222</v>
      </c>
      <c r="B39" s="66">
        <v>4</v>
      </c>
      <c r="C39" s="66">
        <v>663</v>
      </c>
      <c r="D39" s="66" t="s">
        <v>219</v>
      </c>
      <c r="E39" s="66" t="s">
        <v>220</v>
      </c>
      <c r="F39" s="67" t="s">
        <v>223</v>
      </c>
      <c r="G39" s="42"/>
    </row>
    <row r="40" spans="1:7" x14ac:dyDescent="0.3">
      <c r="A40" s="66" t="s">
        <v>97</v>
      </c>
      <c r="B40" s="66">
        <v>1</v>
      </c>
      <c r="C40" s="66">
        <v>4335</v>
      </c>
      <c r="D40" s="66" t="s">
        <v>224</v>
      </c>
      <c r="E40" s="66" t="s">
        <v>220</v>
      </c>
      <c r="F40" s="67" t="s">
        <v>101</v>
      </c>
      <c r="G40" s="42"/>
    </row>
    <row r="41" spans="1:7" x14ac:dyDescent="0.3">
      <c r="A41" s="66" t="s">
        <v>97</v>
      </c>
      <c r="B41" s="66">
        <v>2</v>
      </c>
      <c r="C41" s="66">
        <v>4335</v>
      </c>
      <c r="D41" s="66" t="s">
        <v>219</v>
      </c>
      <c r="E41" s="66" t="s">
        <v>220</v>
      </c>
      <c r="F41" s="67" t="s">
        <v>101</v>
      </c>
      <c r="G41" s="42"/>
    </row>
    <row r="42" spans="1:7" x14ac:dyDescent="0.3">
      <c r="A42" s="66" t="s">
        <v>163</v>
      </c>
      <c r="B42" s="66">
        <v>2</v>
      </c>
      <c r="C42" s="66">
        <v>1163</v>
      </c>
      <c r="D42" s="66" t="s">
        <v>219</v>
      </c>
      <c r="E42" s="66" t="s">
        <v>220</v>
      </c>
      <c r="F42" s="67" t="s">
        <v>225</v>
      </c>
      <c r="G42" s="42"/>
    </row>
    <row r="43" spans="1:7" x14ac:dyDescent="0.3">
      <c r="A43" s="66" t="s">
        <v>77</v>
      </c>
      <c r="B43" s="66">
        <v>5</v>
      </c>
      <c r="C43" s="66">
        <v>7059</v>
      </c>
      <c r="D43" s="66" t="s">
        <v>226</v>
      </c>
      <c r="E43" s="66" t="s">
        <v>220</v>
      </c>
      <c r="F43" s="67" t="s">
        <v>227</v>
      </c>
      <c r="G43" s="42"/>
    </row>
    <row r="44" spans="1:7" x14ac:dyDescent="0.3">
      <c r="A44" s="66" t="s">
        <v>77</v>
      </c>
      <c r="B44" s="66">
        <v>1</v>
      </c>
      <c r="C44" s="66">
        <v>4706</v>
      </c>
      <c r="D44" s="66" t="s">
        <v>219</v>
      </c>
      <c r="E44" s="66" t="s">
        <v>220</v>
      </c>
      <c r="F44" s="67" t="s">
        <v>227</v>
      </c>
      <c r="G44" s="42"/>
    </row>
    <row r="45" spans="1:7" x14ac:dyDescent="0.3">
      <c r="A45" s="66" t="s">
        <v>77</v>
      </c>
      <c r="B45" s="66">
        <v>1</v>
      </c>
      <c r="C45" s="66">
        <v>2353</v>
      </c>
      <c r="D45" s="66" t="s">
        <v>219</v>
      </c>
      <c r="E45" s="66" t="s">
        <v>220</v>
      </c>
      <c r="F45" s="67" t="s">
        <v>227</v>
      </c>
      <c r="G45" s="42"/>
    </row>
    <row r="46" spans="1:7" x14ac:dyDescent="0.3">
      <c r="A46" s="70" t="s">
        <v>183</v>
      </c>
      <c r="B46" s="70">
        <f>SUM(B38:B45)</f>
        <v>18</v>
      </c>
      <c r="C46" s="66"/>
      <c r="D46" s="66"/>
      <c r="E46" s="66"/>
      <c r="F46" s="67"/>
      <c r="G46" s="42"/>
    </row>
    <row r="47" spans="1:7" x14ac:dyDescent="0.3">
      <c r="A47" s="119">
        <v>46301</v>
      </c>
      <c r="B47" s="120"/>
      <c r="C47" s="120"/>
      <c r="D47" s="120"/>
      <c r="E47" s="120"/>
      <c r="F47" s="120"/>
      <c r="G47" s="121"/>
    </row>
    <row r="48" spans="1:7" x14ac:dyDescent="0.3">
      <c r="A48" s="66" t="s">
        <v>97</v>
      </c>
      <c r="B48" s="66">
        <v>4</v>
      </c>
      <c r="C48" s="66">
        <v>4235</v>
      </c>
      <c r="D48" s="66" t="s">
        <v>214</v>
      </c>
      <c r="E48" s="66" t="s">
        <v>191</v>
      </c>
      <c r="F48" s="67" t="s">
        <v>101</v>
      </c>
      <c r="G48" s="42" t="s">
        <v>228</v>
      </c>
    </row>
    <row r="49" spans="1:7" x14ac:dyDescent="0.3">
      <c r="A49" s="66" t="s">
        <v>163</v>
      </c>
      <c r="B49" s="66">
        <v>1</v>
      </c>
      <c r="C49" s="66">
        <v>1316</v>
      </c>
      <c r="D49" s="66" t="s">
        <v>229</v>
      </c>
      <c r="E49" s="66" t="s">
        <v>191</v>
      </c>
      <c r="F49" s="67" t="s">
        <v>225</v>
      </c>
      <c r="G49" s="42"/>
    </row>
    <row r="50" spans="1:7" x14ac:dyDescent="0.3">
      <c r="A50" s="70" t="s">
        <v>183</v>
      </c>
      <c r="B50" s="70">
        <f>SUM(B48:B49)</f>
        <v>5</v>
      </c>
      <c r="C50" s="66"/>
      <c r="D50" s="66"/>
      <c r="E50" s="66"/>
      <c r="F50" s="67"/>
      <c r="G50" s="42"/>
    </row>
    <row r="51" spans="1:7" x14ac:dyDescent="0.3">
      <c r="A51" s="66" t="s">
        <v>230</v>
      </c>
      <c r="B51" s="66">
        <v>1</v>
      </c>
      <c r="C51" s="66">
        <v>2151</v>
      </c>
      <c r="D51" s="66" t="s">
        <v>231</v>
      </c>
      <c r="E51" s="66" t="s">
        <v>220</v>
      </c>
      <c r="F51" s="67" t="s">
        <v>206</v>
      </c>
      <c r="G51" s="42"/>
    </row>
    <row r="52" spans="1:7" x14ac:dyDescent="0.3">
      <c r="A52" s="66" t="s">
        <v>230</v>
      </c>
      <c r="B52" s="66">
        <v>1</v>
      </c>
      <c r="C52" s="66">
        <v>1075</v>
      </c>
      <c r="D52" s="66" t="s">
        <v>231</v>
      </c>
      <c r="E52" s="66" t="s">
        <v>220</v>
      </c>
      <c r="F52" s="67" t="s">
        <v>206</v>
      </c>
      <c r="G52" s="42"/>
    </row>
    <row r="53" spans="1:7" x14ac:dyDescent="0.3">
      <c r="A53" s="66" t="s">
        <v>163</v>
      </c>
      <c r="B53" s="66">
        <v>1</v>
      </c>
      <c r="C53" s="66">
        <v>1316</v>
      </c>
      <c r="D53" s="66" t="s">
        <v>215</v>
      </c>
      <c r="E53" s="66" t="s">
        <v>220</v>
      </c>
      <c r="F53" s="67" t="s">
        <v>232</v>
      </c>
      <c r="G53" s="42"/>
    </row>
    <row r="54" spans="1:7" x14ac:dyDescent="0.3">
      <c r="A54" s="66" t="s">
        <v>163</v>
      </c>
      <c r="B54" s="66">
        <v>1</v>
      </c>
      <c r="C54" s="66">
        <v>1316</v>
      </c>
      <c r="D54" s="66" t="s">
        <v>231</v>
      </c>
      <c r="E54" s="66" t="s">
        <v>220</v>
      </c>
      <c r="F54" s="67" t="s">
        <v>232</v>
      </c>
      <c r="G54" s="42"/>
    </row>
    <row r="55" spans="1:7" x14ac:dyDescent="0.3">
      <c r="A55" s="66" t="s">
        <v>233</v>
      </c>
      <c r="B55" s="66">
        <v>2</v>
      </c>
      <c r="C55" s="66">
        <v>5778</v>
      </c>
      <c r="D55" s="66" t="s">
        <v>234</v>
      </c>
      <c r="E55" s="66" t="s">
        <v>220</v>
      </c>
      <c r="F55" s="67" t="s">
        <v>235</v>
      </c>
      <c r="G55" s="42"/>
    </row>
    <row r="56" spans="1:7" x14ac:dyDescent="0.3">
      <c r="A56" s="66" t="s">
        <v>97</v>
      </c>
      <c r="B56" s="66">
        <v>4</v>
      </c>
      <c r="C56" s="66">
        <v>3789</v>
      </c>
      <c r="D56" s="66" t="s">
        <v>236</v>
      </c>
      <c r="E56" s="66" t="s">
        <v>220</v>
      </c>
      <c r="F56" s="67" t="s">
        <v>101</v>
      </c>
      <c r="G56" s="42"/>
    </row>
    <row r="57" spans="1:7" x14ac:dyDescent="0.3">
      <c r="A57" s="66" t="s">
        <v>97</v>
      </c>
      <c r="B57" s="66">
        <v>1</v>
      </c>
      <c r="C57" s="66">
        <v>3789</v>
      </c>
      <c r="D57" s="66" t="s">
        <v>214</v>
      </c>
      <c r="E57" s="66" t="s">
        <v>220</v>
      </c>
      <c r="F57" s="67" t="s">
        <v>101</v>
      </c>
      <c r="G57" s="42"/>
    </row>
    <row r="58" spans="1:7" x14ac:dyDescent="0.3">
      <c r="A58" s="66" t="s">
        <v>97</v>
      </c>
      <c r="B58" s="66">
        <v>1</v>
      </c>
      <c r="C58" s="66">
        <v>2118</v>
      </c>
      <c r="D58" s="66" t="s">
        <v>237</v>
      </c>
      <c r="E58" s="66" t="s">
        <v>220</v>
      </c>
      <c r="F58" s="67" t="s">
        <v>101</v>
      </c>
      <c r="G58" s="42"/>
    </row>
    <row r="59" spans="1:7" x14ac:dyDescent="0.3">
      <c r="A59" s="66" t="s">
        <v>97</v>
      </c>
      <c r="B59" s="66">
        <v>1</v>
      </c>
      <c r="C59" s="66">
        <v>2118</v>
      </c>
      <c r="D59" s="66" t="s">
        <v>238</v>
      </c>
      <c r="E59" s="66" t="s">
        <v>220</v>
      </c>
      <c r="F59" s="67" t="s">
        <v>101</v>
      </c>
      <c r="G59" s="42"/>
    </row>
    <row r="60" spans="1:7" x14ac:dyDescent="0.3">
      <c r="A60" s="70" t="s">
        <v>183</v>
      </c>
      <c r="B60" s="70">
        <f>SUM(B51:B59)</f>
        <v>13</v>
      </c>
      <c r="C60" s="66"/>
      <c r="D60" s="66"/>
      <c r="E60" s="66"/>
      <c r="F60" s="67"/>
      <c r="G60" s="42"/>
    </row>
    <row r="61" spans="1:7" x14ac:dyDescent="0.3">
      <c r="A61" s="119">
        <v>46302</v>
      </c>
      <c r="B61" s="120"/>
      <c r="C61" s="120"/>
      <c r="D61" s="120"/>
      <c r="E61" s="120"/>
      <c r="F61" s="120"/>
      <c r="G61" s="121"/>
    </row>
    <row r="62" spans="1:7" x14ac:dyDescent="0.3">
      <c r="A62" s="66" t="s">
        <v>163</v>
      </c>
      <c r="B62" s="66">
        <v>6</v>
      </c>
      <c r="C62" s="66">
        <v>1111</v>
      </c>
      <c r="D62" s="66" t="s">
        <v>239</v>
      </c>
      <c r="E62" s="66" t="s">
        <v>50</v>
      </c>
      <c r="F62" s="67" t="s">
        <v>232</v>
      </c>
      <c r="G62" s="42"/>
    </row>
    <row r="63" spans="1:7" x14ac:dyDescent="0.3">
      <c r="A63" s="66" t="s">
        <v>115</v>
      </c>
      <c r="B63" s="66">
        <v>4</v>
      </c>
      <c r="C63" s="66">
        <v>667</v>
      </c>
      <c r="D63" s="66" t="s">
        <v>240</v>
      </c>
      <c r="E63" s="66" t="s">
        <v>50</v>
      </c>
      <c r="F63" s="67" t="s">
        <v>241</v>
      </c>
      <c r="G63" s="42"/>
    </row>
    <row r="64" spans="1:7" x14ac:dyDescent="0.3">
      <c r="A64" s="70" t="s">
        <v>183</v>
      </c>
      <c r="B64" s="70">
        <f>SUM(B62:B63)</f>
        <v>10</v>
      </c>
      <c r="C64" s="66"/>
      <c r="D64" s="66"/>
      <c r="E64" s="66"/>
      <c r="F64" s="67"/>
      <c r="G64" s="42"/>
    </row>
    <row r="65" spans="1:7" x14ac:dyDescent="0.3">
      <c r="A65" s="66" t="s">
        <v>115</v>
      </c>
      <c r="B65" s="66">
        <v>4</v>
      </c>
      <c r="C65" s="66">
        <v>667</v>
      </c>
      <c r="D65" s="66" t="s">
        <v>219</v>
      </c>
      <c r="E65" s="66" t="s">
        <v>191</v>
      </c>
      <c r="F65" s="67" t="s">
        <v>241</v>
      </c>
      <c r="G65" s="42"/>
    </row>
    <row r="66" spans="1:7" x14ac:dyDescent="0.3">
      <c r="A66" s="66" t="s">
        <v>115</v>
      </c>
      <c r="B66" s="66">
        <v>1</v>
      </c>
      <c r="C66" s="66">
        <v>667</v>
      </c>
      <c r="D66" s="66" t="s">
        <v>224</v>
      </c>
      <c r="E66" s="66" t="s">
        <v>191</v>
      </c>
      <c r="F66" s="67" t="s">
        <v>241</v>
      </c>
      <c r="G66" s="42"/>
    </row>
    <row r="67" spans="1:7" x14ac:dyDescent="0.3">
      <c r="A67" s="66" t="s">
        <v>163</v>
      </c>
      <c r="B67" s="66">
        <v>1</v>
      </c>
      <c r="C67" s="66">
        <v>1316</v>
      </c>
      <c r="D67" s="66" t="s">
        <v>224</v>
      </c>
      <c r="E67" s="66" t="s">
        <v>191</v>
      </c>
      <c r="F67" s="67" t="s">
        <v>232</v>
      </c>
      <c r="G67" s="42" t="s">
        <v>242</v>
      </c>
    </row>
    <row r="68" spans="1:7" x14ac:dyDescent="0.3">
      <c r="A68" s="70" t="s">
        <v>183</v>
      </c>
      <c r="B68" s="70">
        <f>SUM(B65:B67)</f>
        <v>6</v>
      </c>
      <c r="C68" s="66"/>
      <c r="D68" s="66"/>
      <c r="E68" s="66"/>
      <c r="F68" s="67"/>
      <c r="G68" s="42"/>
    </row>
    <row r="69" spans="1:7" x14ac:dyDescent="0.3">
      <c r="A69" s="66"/>
      <c r="B69" s="66"/>
      <c r="C69" s="66"/>
      <c r="D69" s="66"/>
      <c r="E69" s="66"/>
      <c r="F69" s="67"/>
      <c r="G69" s="42"/>
    </row>
    <row r="70" spans="1:7" x14ac:dyDescent="0.3">
      <c r="A70" s="119">
        <v>46303</v>
      </c>
      <c r="B70" s="120"/>
      <c r="C70" s="120"/>
      <c r="D70" s="120"/>
      <c r="E70" s="120"/>
      <c r="F70" s="120"/>
      <c r="G70" s="121"/>
    </row>
    <row r="71" spans="1:7" x14ac:dyDescent="0.3">
      <c r="A71" s="66" t="s">
        <v>230</v>
      </c>
      <c r="B71" s="66">
        <v>1</v>
      </c>
      <c r="C71" s="66">
        <v>2151</v>
      </c>
      <c r="D71" s="66" t="s">
        <v>243</v>
      </c>
      <c r="E71" s="66" t="s">
        <v>191</v>
      </c>
      <c r="F71" s="67" t="s">
        <v>206</v>
      </c>
      <c r="G71" s="42"/>
    </row>
    <row r="72" spans="1:7" x14ac:dyDescent="0.3">
      <c r="A72" s="66" t="s">
        <v>230</v>
      </c>
      <c r="B72" s="66">
        <v>1</v>
      </c>
      <c r="C72" s="66">
        <v>1075</v>
      </c>
      <c r="D72" s="66" t="s">
        <v>243</v>
      </c>
      <c r="E72" s="66" t="s">
        <v>191</v>
      </c>
      <c r="F72" s="67" t="s">
        <v>206</v>
      </c>
      <c r="G72" s="42"/>
    </row>
    <row r="73" spans="1:7" x14ac:dyDescent="0.3">
      <c r="A73" s="66" t="s">
        <v>244</v>
      </c>
      <c r="B73" s="66">
        <v>1</v>
      </c>
      <c r="C73" s="66">
        <v>2222</v>
      </c>
      <c r="D73" s="66" t="s">
        <v>245</v>
      </c>
      <c r="E73" s="66" t="s">
        <v>191</v>
      </c>
      <c r="F73" s="67" t="s">
        <v>246</v>
      </c>
      <c r="G73" s="42"/>
    </row>
    <row r="74" spans="1:7" x14ac:dyDescent="0.3">
      <c r="A74" s="66" t="s">
        <v>111</v>
      </c>
      <c r="B74" s="66">
        <v>4</v>
      </c>
      <c r="C74" s="66">
        <v>649</v>
      </c>
      <c r="D74" s="66" t="s">
        <v>195</v>
      </c>
      <c r="E74" s="66" t="s">
        <v>191</v>
      </c>
      <c r="F74" s="67" t="s">
        <v>247</v>
      </c>
      <c r="G74" s="42"/>
    </row>
    <row r="75" spans="1:7" x14ac:dyDescent="0.3">
      <c r="A75" s="70" t="s">
        <v>183</v>
      </c>
      <c r="B75" s="70">
        <f>SUM(B72:B74)</f>
        <v>6</v>
      </c>
      <c r="C75" s="66"/>
      <c r="D75" s="66"/>
      <c r="E75" s="66"/>
      <c r="F75" s="67"/>
      <c r="G75" s="42"/>
    </row>
    <row r="76" spans="1:7" x14ac:dyDescent="0.3">
      <c r="A76" s="66" t="s">
        <v>146</v>
      </c>
      <c r="B76" s="66">
        <v>2</v>
      </c>
      <c r="C76" s="66">
        <v>1484</v>
      </c>
      <c r="D76" s="66" t="s">
        <v>248</v>
      </c>
      <c r="E76" s="66" t="s">
        <v>50</v>
      </c>
      <c r="F76" s="67" t="s">
        <v>249</v>
      </c>
      <c r="G76" s="42"/>
    </row>
    <row r="77" spans="1:7" x14ac:dyDescent="0.3">
      <c r="A77" s="66" t="s">
        <v>146</v>
      </c>
      <c r="B77" s="66">
        <v>1</v>
      </c>
      <c r="C77" s="66">
        <v>1484</v>
      </c>
      <c r="D77" s="66" t="s">
        <v>250</v>
      </c>
      <c r="E77" s="66" t="s">
        <v>50</v>
      </c>
      <c r="F77" s="67" t="s">
        <v>249</v>
      </c>
      <c r="G77" s="42"/>
    </row>
    <row r="78" spans="1:7" x14ac:dyDescent="0.3">
      <c r="A78" s="66" t="s">
        <v>146</v>
      </c>
      <c r="B78" s="66">
        <v>1</v>
      </c>
      <c r="C78" s="66">
        <v>1484</v>
      </c>
      <c r="D78" s="66" t="s">
        <v>251</v>
      </c>
      <c r="E78" s="66" t="s">
        <v>50</v>
      </c>
      <c r="F78" s="67" t="s">
        <v>249</v>
      </c>
      <c r="G78" s="42"/>
    </row>
    <row r="79" spans="1:7" x14ac:dyDescent="0.3">
      <c r="A79" s="66" t="s">
        <v>252</v>
      </c>
      <c r="B79" s="66">
        <v>1</v>
      </c>
      <c r="C79" s="66">
        <v>667</v>
      </c>
      <c r="D79" s="66" t="s">
        <v>205</v>
      </c>
      <c r="E79" s="66" t="s">
        <v>50</v>
      </c>
      <c r="F79" s="67" t="s">
        <v>241</v>
      </c>
      <c r="G79" s="42"/>
    </row>
    <row r="80" spans="1:7" x14ac:dyDescent="0.3">
      <c r="A80" s="66" t="s">
        <v>163</v>
      </c>
      <c r="B80" s="66">
        <v>1</v>
      </c>
      <c r="C80" s="66">
        <v>1316</v>
      </c>
      <c r="D80" s="66" t="s">
        <v>253</v>
      </c>
      <c r="E80" s="66" t="s">
        <v>50</v>
      </c>
      <c r="F80" s="67" t="s">
        <v>232</v>
      </c>
      <c r="G80" s="42"/>
    </row>
    <row r="81" spans="1:7" x14ac:dyDescent="0.3">
      <c r="A81" s="66" t="s">
        <v>111</v>
      </c>
      <c r="B81" s="66">
        <v>3</v>
      </c>
      <c r="C81" s="66">
        <v>2574</v>
      </c>
      <c r="D81" s="66" t="s">
        <v>254</v>
      </c>
      <c r="E81" s="66" t="s">
        <v>50</v>
      </c>
      <c r="F81" s="67" t="s">
        <v>247</v>
      </c>
      <c r="G81" s="42"/>
    </row>
    <row r="82" spans="1:7" x14ac:dyDescent="0.3">
      <c r="A82" s="70" t="s">
        <v>183</v>
      </c>
      <c r="B82" s="70">
        <f>SUM(B76:B81)</f>
        <v>9</v>
      </c>
      <c r="C82" s="66"/>
      <c r="D82" s="66"/>
      <c r="E82" s="66"/>
      <c r="F82" s="67"/>
      <c r="G82" s="42"/>
    </row>
    <row r="83" spans="1:7" x14ac:dyDescent="0.3">
      <c r="A83" s="66" t="s">
        <v>146</v>
      </c>
      <c r="B83" s="66">
        <v>2</v>
      </c>
      <c r="C83" s="66">
        <v>1184</v>
      </c>
      <c r="D83" s="66" t="s">
        <v>255</v>
      </c>
      <c r="E83" s="66" t="s">
        <v>220</v>
      </c>
      <c r="F83" s="67" t="s">
        <v>249</v>
      </c>
      <c r="G83" s="42"/>
    </row>
    <row r="84" spans="1:7" x14ac:dyDescent="0.3">
      <c r="A84" s="66" t="s">
        <v>244</v>
      </c>
      <c r="B84" s="66">
        <v>2</v>
      </c>
      <c r="C84" s="66">
        <v>2222</v>
      </c>
      <c r="D84" s="66" t="s">
        <v>214</v>
      </c>
      <c r="E84" s="66" t="s">
        <v>220</v>
      </c>
      <c r="F84" s="67" t="s">
        <v>246</v>
      </c>
      <c r="G84" s="42"/>
    </row>
    <row r="85" spans="1:7" x14ac:dyDescent="0.3">
      <c r="A85" s="66" t="s">
        <v>244</v>
      </c>
      <c r="B85" s="66">
        <v>1</v>
      </c>
      <c r="C85" s="66">
        <v>2222</v>
      </c>
      <c r="D85" s="66" t="s">
        <v>215</v>
      </c>
      <c r="E85" s="66" t="s">
        <v>220</v>
      </c>
      <c r="F85" s="67" t="s">
        <v>246</v>
      </c>
      <c r="G85" s="42"/>
    </row>
    <row r="86" spans="1:7" x14ac:dyDescent="0.3">
      <c r="A86" s="66" t="s">
        <v>256</v>
      </c>
      <c r="B86" s="66">
        <v>2</v>
      </c>
      <c r="C86" s="66">
        <v>5952</v>
      </c>
      <c r="D86" s="66" t="s">
        <v>257</v>
      </c>
      <c r="E86" s="66" t="s">
        <v>220</v>
      </c>
      <c r="F86" s="67" t="s">
        <v>258</v>
      </c>
      <c r="G86" s="42"/>
    </row>
    <row r="87" spans="1:7" x14ac:dyDescent="0.3">
      <c r="A87" s="66" t="s">
        <v>119</v>
      </c>
      <c r="B87" s="66">
        <v>5</v>
      </c>
      <c r="C87" s="66">
        <v>3529</v>
      </c>
      <c r="D87" s="66" t="s">
        <v>219</v>
      </c>
      <c r="E87" s="66" t="s">
        <v>220</v>
      </c>
      <c r="F87" s="67" t="s">
        <v>120</v>
      </c>
      <c r="G87" s="42"/>
    </row>
    <row r="88" spans="1:7" x14ac:dyDescent="0.3">
      <c r="A88" s="66" t="s">
        <v>119</v>
      </c>
      <c r="B88" s="66">
        <v>2</v>
      </c>
      <c r="C88" s="66">
        <v>3529</v>
      </c>
      <c r="D88" s="66" t="s">
        <v>259</v>
      </c>
      <c r="E88" s="66" t="s">
        <v>220</v>
      </c>
      <c r="F88" s="67" t="s">
        <v>120</v>
      </c>
      <c r="G88" s="42" t="s">
        <v>260</v>
      </c>
    </row>
    <row r="89" spans="1:7" x14ac:dyDescent="0.3">
      <c r="A89" s="70" t="s">
        <v>183</v>
      </c>
      <c r="B89" s="70">
        <f>SUM(B83:B88)</f>
        <v>14</v>
      </c>
      <c r="C89" s="66"/>
      <c r="D89" s="66"/>
      <c r="E89" s="66"/>
      <c r="F89" s="67"/>
      <c r="G89" s="42"/>
    </row>
    <row r="90" spans="1:7" x14ac:dyDescent="0.3">
      <c r="A90" s="119">
        <v>46304</v>
      </c>
      <c r="B90" s="120"/>
      <c r="C90" s="120"/>
      <c r="D90" s="120"/>
      <c r="E90" s="120"/>
      <c r="F90" s="120"/>
      <c r="G90" s="121"/>
    </row>
    <row r="91" spans="1:7" x14ac:dyDescent="0.3">
      <c r="A91" s="66" t="s">
        <v>261</v>
      </c>
      <c r="B91" s="66">
        <v>2</v>
      </c>
      <c r="C91" s="66">
        <v>5952</v>
      </c>
      <c r="D91" s="66" t="s">
        <v>219</v>
      </c>
      <c r="E91" s="66" t="s">
        <v>191</v>
      </c>
      <c r="F91" s="67" t="s">
        <v>262</v>
      </c>
      <c r="G91" s="42" t="s">
        <v>263</v>
      </c>
    </row>
    <row r="92" spans="1:7" x14ac:dyDescent="0.3">
      <c r="A92" s="70" t="s">
        <v>183</v>
      </c>
      <c r="B92" s="70">
        <f>SUM(B91)</f>
        <v>2</v>
      </c>
      <c r="C92" s="66"/>
      <c r="D92" s="66"/>
      <c r="E92" s="66"/>
      <c r="F92" s="67"/>
      <c r="G92" s="42"/>
    </row>
    <row r="93" spans="1:7" x14ac:dyDescent="0.3">
      <c r="A93" s="66" t="s">
        <v>244</v>
      </c>
      <c r="B93" s="66">
        <v>1</v>
      </c>
      <c r="C93" s="66">
        <v>2222</v>
      </c>
      <c r="D93" s="66" t="s">
        <v>264</v>
      </c>
      <c r="E93" s="66" t="s">
        <v>50</v>
      </c>
      <c r="F93" s="67" t="s">
        <v>246</v>
      </c>
      <c r="G93" s="42" t="s">
        <v>265</v>
      </c>
    </row>
    <row r="94" spans="1:7" x14ac:dyDescent="0.3">
      <c r="A94" s="66" t="s">
        <v>266</v>
      </c>
      <c r="B94" s="66">
        <v>1</v>
      </c>
      <c r="C94" s="66">
        <v>1111</v>
      </c>
      <c r="D94" s="66" t="s">
        <v>267</v>
      </c>
      <c r="E94" s="66" t="s">
        <v>50</v>
      </c>
      <c r="F94" s="67" t="s">
        <v>268</v>
      </c>
      <c r="G94" s="42"/>
    </row>
    <row r="95" spans="1:7" x14ac:dyDescent="0.3">
      <c r="A95" s="66" t="s">
        <v>266</v>
      </c>
      <c r="B95" s="66">
        <v>1</v>
      </c>
      <c r="C95" s="66">
        <v>1111</v>
      </c>
      <c r="D95" s="66" t="s">
        <v>269</v>
      </c>
      <c r="E95" s="66" t="s">
        <v>50</v>
      </c>
      <c r="F95" s="67" t="s">
        <v>268</v>
      </c>
      <c r="G95" s="42"/>
    </row>
    <row r="96" spans="1:7" x14ac:dyDescent="0.3">
      <c r="A96" s="66" t="s">
        <v>244</v>
      </c>
      <c r="B96" s="66">
        <v>1</v>
      </c>
      <c r="C96" s="66">
        <v>2222</v>
      </c>
      <c r="D96" s="66" t="s">
        <v>270</v>
      </c>
      <c r="E96" s="66" t="s">
        <v>50</v>
      </c>
      <c r="F96" s="67" t="s">
        <v>246</v>
      </c>
      <c r="G96" s="42"/>
    </row>
    <row r="97" spans="1:7" x14ac:dyDescent="0.3">
      <c r="A97" s="66" t="s">
        <v>119</v>
      </c>
      <c r="B97" s="76">
        <v>0.5</v>
      </c>
      <c r="C97" s="66">
        <v>1234</v>
      </c>
      <c r="D97" s="66" t="s">
        <v>271</v>
      </c>
      <c r="E97" s="66" t="s">
        <v>50</v>
      </c>
      <c r="F97" s="67" t="s">
        <v>120</v>
      </c>
      <c r="G97" s="42"/>
    </row>
    <row r="98" spans="1:7" x14ac:dyDescent="0.3">
      <c r="A98" s="70" t="s">
        <v>183</v>
      </c>
      <c r="B98" s="70">
        <f>SUM(B93:B97)</f>
        <v>4.5</v>
      </c>
      <c r="C98" s="66"/>
      <c r="D98" s="66"/>
      <c r="E98" s="66"/>
      <c r="F98" s="67"/>
      <c r="G98" s="42"/>
    </row>
    <row r="99" spans="1:7" x14ac:dyDescent="0.3">
      <c r="A99" s="66" t="s">
        <v>272</v>
      </c>
      <c r="B99" s="66">
        <v>6</v>
      </c>
      <c r="C99" s="66">
        <v>3431</v>
      </c>
      <c r="D99" s="66" t="s">
        <v>219</v>
      </c>
      <c r="E99" s="66" t="s">
        <v>220</v>
      </c>
      <c r="F99" s="67" t="s">
        <v>273</v>
      </c>
      <c r="G99" s="42"/>
    </row>
    <row r="100" spans="1:7" x14ac:dyDescent="0.3">
      <c r="A100" s="66" t="s">
        <v>119</v>
      </c>
      <c r="B100" s="66">
        <v>2</v>
      </c>
      <c r="C100" s="66">
        <v>1176</v>
      </c>
      <c r="D100" s="66" t="s">
        <v>224</v>
      </c>
      <c r="E100" s="66" t="s">
        <v>220</v>
      </c>
      <c r="F100" s="67" t="s">
        <v>120</v>
      </c>
      <c r="G100" s="42"/>
    </row>
    <row r="101" spans="1:7" x14ac:dyDescent="0.3">
      <c r="A101" s="66" t="s">
        <v>119</v>
      </c>
      <c r="B101" s="66">
        <v>1</v>
      </c>
      <c r="C101" s="66">
        <v>1765</v>
      </c>
      <c r="D101" s="66" t="s">
        <v>215</v>
      </c>
      <c r="E101" s="66" t="s">
        <v>220</v>
      </c>
      <c r="F101" s="67" t="s">
        <v>120</v>
      </c>
      <c r="G101" s="42"/>
    </row>
    <row r="102" spans="1:7" x14ac:dyDescent="0.3">
      <c r="A102" s="66" t="s">
        <v>274</v>
      </c>
      <c r="B102" s="66">
        <v>1</v>
      </c>
      <c r="C102" s="66">
        <v>2222</v>
      </c>
      <c r="D102" s="66" t="s">
        <v>205</v>
      </c>
      <c r="E102" s="66" t="s">
        <v>220</v>
      </c>
      <c r="F102" s="67" t="s">
        <v>275</v>
      </c>
      <c r="G102" s="42"/>
    </row>
    <row r="103" spans="1:7" x14ac:dyDescent="0.3">
      <c r="A103" s="66" t="s">
        <v>266</v>
      </c>
      <c r="B103" s="66">
        <v>1</v>
      </c>
      <c r="C103" s="66">
        <v>475</v>
      </c>
      <c r="D103" s="66" t="s">
        <v>276</v>
      </c>
      <c r="E103" s="66" t="s">
        <v>220</v>
      </c>
      <c r="F103" s="67" t="s">
        <v>277</v>
      </c>
      <c r="G103" s="42"/>
    </row>
    <row r="104" spans="1:7" x14ac:dyDescent="0.3">
      <c r="A104" s="66" t="s">
        <v>266</v>
      </c>
      <c r="B104" s="66">
        <v>1</v>
      </c>
      <c r="C104" s="66">
        <v>500</v>
      </c>
      <c r="D104" s="66" t="s">
        <v>278</v>
      </c>
      <c r="E104" s="66" t="s">
        <v>220</v>
      </c>
      <c r="F104" s="67" t="s">
        <v>277</v>
      </c>
      <c r="G104" s="42"/>
    </row>
    <row r="105" spans="1:7" x14ac:dyDescent="0.3">
      <c r="A105" s="66" t="s">
        <v>266</v>
      </c>
      <c r="B105" s="66">
        <v>1</v>
      </c>
      <c r="C105" s="66">
        <v>500</v>
      </c>
      <c r="D105" s="66" t="s">
        <v>279</v>
      </c>
      <c r="E105" s="66" t="s">
        <v>220</v>
      </c>
      <c r="F105" s="67" t="s">
        <v>277</v>
      </c>
      <c r="G105" s="42"/>
    </row>
    <row r="106" spans="1:7" x14ac:dyDescent="0.3">
      <c r="A106" s="66" t="s">
        <v>266</v>
      </c>
      <c r="B106" s="66">
        <v>1</v>
      </c>
      <c r="C106" s="66">
        <v>500</v>
      </c>
      <c r="D106" s="66" t="s">
        <v>280</v>
      </c>
      <c r="E106" s="66" t="s">
        <v>220</v>
      </c>
      <c r="F106" s="67" t="s">
        <v>277</v>
      </c>
      <c r="G106" s="42"/>
    </row>
    <row r="107" spans="1:7" x14ac:dyDescent="0.3">
      <c r="A107" s="66" t="s">
        <v>266</v>
      </c>
      <c r="B107" s="66">
        <v>1</v>
      </c>
      <c r="C107" s="66">
        <v>500</v>
      </c>
      <c r="D107" s="66" t="s">
        <v>281</v>
      </c>
      <c r="E107" s="66" t="s">
        <v>220</v>
      </c>
      <c r="F107" s="67" t="s">
        <v>277</v>
      </c>
      <c r="G107" s="42"/>
    </row>
    <row r="108" spans="1:7" x14ac:dyDescent="0.3">
      <c r="A108" s="70" t="s">
        <v>183</v>
      </c>
      <c r="B108" s="70">
        <f>SUM(B99:B107)</f>
        <v>15</v>
      </c>
      <c r="C108" s="66"/>
      <c r="D108" s="66"/>
      <c r="E108" s="66"/>
      <c r="F108" s="67"/>
      <c r="G108" s="42"/>
    </row>
    <row r="109" spans="1:7" x14ac:dyDescent="0.3">
      <c r="A109" s="119">
        <v>46307</v>
      </c>
      <c r="B109" s="120"/>
      <c r="C109" s="120"/>
      <c r="D109" s="120"/>
      <c r="E109" s="120"/>
      <c r="F109" s="121"/>
      <c r="G109" s="61"/>
    </row>
    <row r="110" spans="1:7" x14ac:dyDescent="0.3">
      <c r="A110" s="66" t="s">
        <v>282</v>
      </c>
      <c r="B110" s="66">
        <v>1</v>
      </c>
      <c r="C110" s="66">
        <v>13333</v>
      </c>
      <c r="D110" s="66" t="s">
        <v>283</v>
      </c>
      <c r="E110" s="66" t="s">
        <v>191</v>
      </c>
      <c r="F110" s="67" t="s">
        <v>211</v>
      </c>
      <c r="G110" s="42"/>
    </row>
    <row r="111" spans="1:7" x14ac:dyDescent="0.3">
      <c r="A111" s="66" t="s">
        <v>282</v>
      </c>
      <c r="B111" s="66">
        <v>1</v>
      </c>
      <c r="C111" s="66">
        <v>13333</v>
      </c>
      <c r="D111" s="66" t="s">
        <v>215</v>
      </c>
      <c r="E111" s="66" t="s">
        <v>191</v>
      </c>
      <c r="F111" s="67" t="s">
        <v>211</v>
      </c>
      <c r="G111" s="42"/>
    </row>
    <row r="112" spans="1:7" x14ac:dyDescent="0.3">
      <c r="A112" s="66" t="s">
        <v>282</v>
      </c>
      <c r="B112" s="66">
        <v>1</v>
      </c>
      <c r="C112" s="66">
        <v>6667</v>
      </c>
      <c r="D112" s="66" t="s">
        <v>234</v>
      </c>
      <c r="E112" s="66" t="s">
        <v>191</v>
      </c>
      <c r="F112" s="67" t="s">
        <v>211</v>
      </c>
      <c r="G112" s="42"/>
    </row>
    <row r="113" spans="1:14" x14ac:dyDescent="0.3">
      <c r="A113" s="66" t="s">
        <v>119</v>
      </c>
      <c r="B113" s="66">
        <v>1</v>
      </c>
      <c r="C113" s="66">
        <v>1765</v>
      </c>
      <c r="D113" s="66" t="s">
        <v>205</v>
      </c>
      <c r="E113" s="66" t="s">
        <v>191</v>
      </c>
      <c r="F113" s="67" t="s">
        <v>120</v>
      </c>
      <c r="G113" s="42" t="s">
        <v>284</v>
      </c>
    </row>
    <row r="114" spans="1:14" x14ac:dyDescent="0.3">
      <c r="A114" s="70" t="s">
        <v>183</v>
      </c>
      <c r="B114" s="70">
        <f>SUM(B110:B113)</f>
        <v>4</v>
      </c>
      <c r="C114" s="66"/>
      <c r="D114" s="66"/>
      <c r="E114" s="66"/>
      <c r="F114" s="67"/>
      <c r="G114" s="42"/>
    </row>
    <row r="115" spans="1:14" x14ac:dyDescent="0.3">
      <c r="A115" s="66" t="s">
        <v>119</v>
      </c>
      <c r="B115" s="66">
        <v>1</v>
      </c>
      <c r="C115" s="66">
        <v>3333</v>
      </c>
      <c r="D115" s="66" t="s">
        <v>271</v>
      </c>
      <c r="E115" s="66" t="s">
        <v>285</v>
      </c>
      <c r="F115" s="67" t="s">
        <v>120</v>
      </c>
      <c r="G115" s="42"/>
    </row>
    <row r="116" spans="1:14" x14ac:dyDescent="0.3">
      <c r="A116" s="66" t="s">
        <v>282</v>
      </c>
      <c r="B116" s="66">
        <v>1</v>
      </c>
      <c r="C116" s="66">
        <v>13333</v>
      </c>
      <c r="D116" s="66" t="s">
        <v>219</v>
      </c>
      <c r="E116" s="66" t="s">
        <v>179</v>
      </c>
      <c r="F116" s="67" t="s">
        <v>211</v>
      </c>
      <c r="G116" s="42" t="s">
        <v>286</v>
      </c>
    </row>
    <row r="117" spans="1:14" x14ac:dyDescent="0.3">
      <c r="A117" s="70" t="s">
        <v>183</v>
      </c>
      <c r="B117" s="70">
        <f>SUM(B115:B116)</f>
        <v>2</v>
      </c>
      <c r="C117" s="66"/>
      <c r="D117" s="66"/>
      <c r="E117" s="66"/>
      <c r="F117" s="67"/>
      <c r="G117" s="42"/>
    </row>
    <row r="118" spans="1:14" x14ac:dyDescent="0.3">
      <c r="A118" s="66" t="s">
        <v>156</v>
      </c>
      <c r="B118" s="66">
        <v>8</v>
      </c>
      <c r="C118" s="66">
        <v>938</v>
      </c>
      <c r="D118" s="66" t="s">
        <v>287</v>
      </c>
      <c r="E118" s="66" t="s">
        <v>288</v>
      </c>
      <c r="F118" s="67" t="s">
        <v>289</v>
      </c>
      <c r="G118" s="42"/>
    </row>
    <row r="119" spans="1:14" x14ac:dyDescent="0.3">
      <c r="A119" s="66" t="s">
        <v>156</v>
      </c>
      <c r="B119" s="66">
        <v>2</v>
      </c>
      <c r="C119" s="66">
        <v>938</v>
      </c>
      <c r="D119" s="66" t="s">
        <v>290</v>
      </c>
      <c r="E119" s="66" t="s">
        <v>288</v>
      </c>
      <c r="F119" s="67" t="s">
        <v>289</v>
      </c>
      <c r="G119" s="42"/>
    </row>
    <row r="120" spans="1:14" x14ac:dyDescent="0.3">
      <c r="A120" s="66" t="s">
        <v>291</v>
      </c>
      <c r="B120" s="66">
        <v>1</v>
      </c>
      <c r="C120" s="66">
        <v>20000</v>
      </c>
      <c r="D120" s="66" t="s">
        <v>214</v>
      </c>
      <c r="E120" s="66" t="s">
        <v>288</v>
      </c>
      <c r="F120" s="67" t="s">
        <v>292</v>
      </c>
      <c r="G120" s="42"/>
    </row>
    <row r="121" spans="1:14" x14ac:dyDescent="0.3">
      <c r="A121" s="66" t="s">
        <v>291</v>
      </c>
      <c r="B121" s="66">
        <v>1</v>
      </c>
      <c r="C121" s="66">
        <v>20000</v>
      </c>
      <c r="D121" s="66" t="s">
        <v>219</v>
      </c>
      <c r="E121" s="66" t="s">
        <v>288</v>
      </c>
      <c r="F121" s="67" t="s">
        <v>292</v>
      </c>
      <c r="G121" s="42"/>
    </row>
    <row r="122" spans="1:14" x14ac:dyDescent="0.3">
      <c r="A122" s="66" t="s">
        <v>293</v>
      </c>
      <c r="B122" s="66">
        <v>6</v>
      </c>
      <c r="C122" s="66">
        <v>1373</v>
      </c>
      <c r="D122" s="66" t="s">
        <v>294</v>
      </c>
      <c r="E122" s="66" t="s">
        <v>288</v>
      </c>
      <c r="F122" s="67" t="s">
        <v>295</v>
      </c>
      <c r="G122" s="42"/>
    </row>
    <row r="123" spans="1:14" x14ac:dyDescent="0.3">
      <c r="A123" s="66" t="s">
        <v>296</v>
      </c>
      <c r="B123" s="66">
        <v>3</v>
      </c>
      <c r="C123" s="66">
        <v>3333</v>
      </c>
      <c r="D123" s="66" t="s">
        <v>215</v>
      </c>
      <c r="E123" s="66" t="s">
        <v>288</v>
      </c>
      <c r="F123" s="67" t="s">
        <v>235</v>
      </c>
      <c r="G123" s="42"/>
    </row>
    <row r="124" spans="1:14" x14ac:dyDescent="0.3">
      <c r="A124" s="70" t="s">
        <v>183</v>
      </c>
      <c r="B124" s="70">
        <f>SUM(B118:B123)</f>
        <v>21</v>
      </c>
      <c r="C124" s="66"/>
      <c r="D124" s="66"/>
      <c r="E124" s="66"/>
      <c r="F124" s="67"/>
      <c r="G124" s="42"/>
    </row>
    <row r="125" spans="1:14" ht="33.75" customHeight="1" x14ac:dyDescent="0.3">
      <c r="A125" s="122" t="s">
        <v>297</v>
      </c>
      <c r="B125" s="123"/>
      <c r="C125" s="123"/>
      <c r="D125" s="123"/>
      <c r="E125" s="123"/>
      <c r="F125" s="123"/>
      <c r="G125" s="124"/>
    </row>
    <row r="126" spans="1:14" x14ac:dyDescent="0.3">
      <c r="A126" s="119">
        <v>46308</v>
      </c>
      <c r="B126" s="120"/>
      <c r="C126" s="120"/>
      <c r="D126" s="120"/>
      <c r="E126" s="120"/>
      <c r="F126" s="121"/>
      <c r="G126" s="61"/>
    </row>
    <row r="127" spans="1:14" x14ac:dyDescent="0.3">
      <c r="A127" s="66" t="s">
        <v>266</v>
      </c>
      <c r="B127" s="66">
        <v>3</v>
      </c>
      <c r="C127" s="66">
        <v>500</v>
      </c>
      <c r="D127" s="66" t="s">
        <v>190</v>
      </c>
      <c r="E127" s="66" t="s">
        <v>179</v>
      </c>
      <c r="F127" s="67" t="s">
        <v>298</v>
      </c>
      <c r="G127" s="42"/>
    </row>
    <row r="128" spans="1:14" x14ac:dyDescent="0.3">
      <c r="A128" s="66" t="s">
        <v>299</v>
      </c>
      <c r="B128" s="66">
        <v>1</v>
      </c>
      <c r="C128" s="66">
        <v>316</v>
      </c>
      <c r="D128" s="66" t="s">
        <v>190</v>
      </c>
      <c r="E128" s="66" t="s">
        <v>179</v>
      </c>
      <c r="F128" s="67" t="s">
        <v>86</v>
      </c>
      <c r="G128" s="42" t="s">
        <v>300</v>
      </c>
      <c r="N128" s="77"/>
    </row>
    <row r="129" spans="1:7" x14ac:dyDescent="0.3">
      <c r="A129" s="70" t="s">
        <v>183</v>
      </c>
      <c r="B129" s="70">
        <f>SUM(B127:B128)</f>
        <v>4</v>
      </c>
      <c r="C129" s="66"/>
      <c r="D129" s="66"/>
      <c r="E129" s="66"/>
      <c r="F129" s="67"/>
      <c r="G129" s="42"/>
    </row>
    <row r="130" spans="1:7" x14ac:dyDescent="0.3">
      <c r="A130" s="66" t="s">
        <v>299</v>
      </c>
      <c r="B130" s="66">
        <v>1</v>
      </c>
      <c r="C130" s="66">
        <v>316</v>
      </c>
      <c r="D130" s="66" t="s">
        <v>190</v>
      </c>
      <c r="E130" s="66" t="s">
        <v>191</v>
      </c>
      <c r="F130" s="67" t="s">
        <v>86</v>
      </c>
      <c r="G130" s="42" t="s">
        <v>301</v>
      </c>
    </row>
    <row r="131" spans="1:7" x14ac:dyDescent="0.3">
      <c r="A131" s="66" t="s">
        <v>302</v>
      </c>
      <c r="B131" s="66">
        <v>1</v>
      </c>
      <c r="C131" s="66">
        <v>2564</v>
      </c>
      <c r="D131" s="66" t="s">
        <v>219</v>
      </c>
      <c r="E131" s="66" t="s">
        <v>191</v>
      </c>
      <c r="F131" s="67" t="s">
        <v>303</v>
      </c>
      <c r="G131" s="42"/>
    </row>
    <row r="132" spans="1:7" x14ac:dyDescent="0.3">
      <c r="A132" s="66" t="s">
        <v>302</v>
      </c>
      <c r="B132" s="66">
        <v>1</v>
      </c>
      <c r="C132" s="66">
        <v>2564</v>
      </c>
      <c r="D132" s="66" t="s">
        <v>304</v>
      </c>
      <c r="E132" s="66" t="s">
        <v>191</v>
      </c>
      <c r="F132" s="67" t="s">
        <v>303</v>
      </c>
      <c r="G132" s="42"/>
    </row>
    <row r="133" spans="1:7" x14ac:dyDescent="0.3">
      <c r="A133" s="66" t="s">
        <v>302</v>
      </c>
      <c r="B133" s="66">
        <v>1</v>
      </c>
      <c r="C133" s="66">
        <v>2564</v>
      </c>
      <c r="D133" s="66" t="s">
        <v>304</v>
      </c>
      <c r="E133" s="66" t="s">
        <v>191</v>
      </c>
      <c r="F133" s="67" t="s">
        <v>303</v>
      </c>
      <c r="G133" s="42"/>
    </row>
    <row r="134" spans="1:7" x14ac:dyDescent="0.3">
      <c r="A134" s="70" t="s">
        <v>183</v>
      </c>
      <c r="B134" s="70">
        <f>SUM(B130:B133)</f>
        <v>4</v>
      </c>
      <c r="C134" s="66"/>
      <c r="D134" s="66"/>
      <c r="E134" s="66"/>
      <c r="F134" s="67"/>
      <c r="G134" s="42"/>
    </row>
    <row r="135" spans="1:7" x14ac:dyDescent="0.3">
      <c r="A135" s="66" t="s">
        <v>302</v>
      </c>
      <c r="B135" s="66">
        <v>1</v>
      </c>
      <c r="C135" s="66">
        <v>2564</v>
      </c>
      <c r="D135" s="66" t="s">
        <v>304</v>
      </c>
      <c r="E135" s="66" t="s">
        <v>194</v>
      </c>
      <c r="F135" s="67" t="s">
        <v>303</v>
      </c>
      <c r="G135" s="42"/>
    </row>
    <row r="136" spans="1:7" x14ac:dyDescent="0.3">
      <c r="A136" s="129"/>
      <c r="B136" s="130"/>
      <c r="C136" s="130"/>
      <c r="D136" s="130"/>
      <c r="E136" s="130"/>
      <c r="F136" s="130"/>
      <c r="G136" s="131"/>
    </row>
    <row r="137" spans="1:7" x14ac:dyDescent="0.3">
      <c r="A137" s="70" t="s">
        <v>183</v>
      </c>
      <c r="B137" s="70">
        <f>SUM(B135)</f>
        <v>1</v>
      </c>
      <c r="C137" s="66"/>
      <c r="D137" s="66"/>
      <c r="E137" s="66"/>
      <c r="F137" s="67"/>
      <c r="G137" s="42"/>
    </row>
    <row r="138" spans="1:7" x14ac:dyDescent="0.3">
      <c r="A138" s="66" t="s">
        <v>305</v>
      </c>
      <c r="B138" s="66">
        <v>2</v>
      </c>
      <c r="C138" s="66">
        <v>821</v>
      </c>
      <c r="D138" s="66" t="s">
        <v>219</v>
      </c>
      <c r="E138" s="66" t="s">
        <v>288</v>
      </c>
      <c r="F138" s="42" t="s">
        <v>306</v>
      </c>
      <c r="G138" s="42"/>
    </row>
    <row r="139" spans="1:7" x14ac:dyDescent="0.3">
      <c r="A139" s="66" t="s">
        <v>305</v>
      </c>
      <c r="B139" s="66">
        <v>1</v>
      </c>
      <c r="C139" s="66">
        <v>821</v>
      </c>
      <c r="D139" s="66" t="s">
        <v>224</v>
      </c>
      <c r="E139" s="66" t="s">
        <v>288</v>
      </c>
      <c r="F139" s="42" t="s">
        <v>306</v>
      </c>
      <c r="G139" s="42"/>
    </row>
    <row r="140" spans="1:7" x14ac:dyDescent="0.3">
      <c r="A140" s="66" t="s">
        <v>305</v>
      </c>
      <c r="B140" s="66">
        <v>1</v>
      </c>
      <c r="C140" s="66">
        <v>821</v>
      </c>
      <c r="D140" s="66" t="s">
        <v>237</v>
      </c>
      <c r="E140" s="66" t="s">
        <v>288</v>
      </c>
      <c r="F140" s="42" t="s">
        <v>306</v>
      </c>
      <c r="G140" s="42"/>
    </row>
    <row r="141" spans="1:7" x14ac:dyDescent="0.3">
      <c r="A141" s="66" t="s">
        <v>305</v>
      </c>
      <c r="B141" s="66">
        <v>5</v>
      </c>
      <c r="C141" s="66">
        <v>821</v>
      </c>
      <c r="D141" s="66" t="s">
        <v>307</v>
      </c>
      <c r="E141" s="66" t="s">
        <v>288</v>
      </c>
      <c r="F141" s="42" t="s">
        <v>306</v>
      </c>
      <c r="G141" s="42"/>
    </row>
    <row r="142" spans="1:7" x14ac:dyDescent="0.3">
      <c r="A142" s="66" t="s">
        <v>302</v>
      </c>
      <c r="B142" s="66">
        <v>1</v>
      </c>
      <c r="C142" s="66">
        <v>2564</v>
      </c>
      <c r="D142" s="66" t="s">
        <v>308</v>
      </c>
      <c r="E142" s="66" t="s">
        <v>288</v>
      </c>
      <c r="F142" s="67" t="s">
        <v>303</v>
      </c>
      <c r="G142" s="42"/>
    </row>
    <row r="143" spans="1:7" x14ac:dyDescent="0.3">
      <c r="A143" s="66" t="s">
        <v>302</v>
      </c>
      <c r="B143" s="66">
        <v>1</v>
      </c>
      <c r="C143" s="66">
        <v>2564</v>
      </c>
      <c r="D143" s="66" t="s">
        <v>309</v>
      </c>
      <c r="E143" s="66" t="s">
        <v>288</v>
      </c>
      <c r="F143" s="67" t="s">
        <v>303</v>
      </c>
      <c r="G143" s="42"/>
    </row>
    <row r="144" spans="1:7" x14ac:dyDescent="0.3">
      <c r="A144" s="66" t="s">
        <v>302</v>
      </c>
      <c r="B144" s="66">
        <v>1</v>
      </c>
      <c r="C144" s="66">
        <v>2564</v>
      </c>
      <c r="D144" s="66" t="s">
        <v>224</v>
      </c>
      <c r="E144" s="66" t="s">
        <v>288</v>
      </c>
      <c r="F144" s="67" t="s">
        <v>303</v>
      </c>
      <c r="G144" s="42"/>
    </row>
    <row r="145" spans="1:7" x14ac:dyDescent="0.3">
      <c r="A145" s="66" t="s">
        <v>302</v>
      </c>
      <c r="B145" s="66">
        <v>1</v>
      </c>
      <c r="C145" s="66">
        <v>1603</v>
      </c>
      <c r="D145" s="66" t="s">
        <v>224</v>
      </c>
      <c r="E145" s="66" t="s">
        <v>288</v>
      </c>
      <c r="F145" s="67" t="s">
        <v>303</v>
      </c>
      <c r="G145" s="42"/>
    </row>
    <row r="146" spans="1:7" x14ac:dyDescent="0.3">
      <c r="A146" s="66" t="s">
        <v>310</v>
      </c>
      <c r="B146" s="66">
        <v>1</v>
      </c>
      <c r="C146" s="66">
        <v>2222</v>
      </c>
      <c r="D146" s="66" t="s">
        <v>311</v>
      </c>
      <c r="E146" s="66" t="s">
        <v>288</v>
      </c>
      <c r="F146" s="67" t="s">
        <v>206</v>
      </c>
      <c r="G146" s="42"/>
    </row>
    <row r="147" spans="1:7" x14ac:dyDescent="0.3">
      <c r="A147" s="66" t="s">
        <v>163</v>
      </c>
      <c r="B147" s="66">
        <v>1</v>
      </c>
      <c r="C147" s="66">
        <v>1316</v>
      </c>
      <c r="D147" s="66" t="s">
        <v>229</v>
      </c>
      <c r="E147" s="66" t="s">
        <v>288</v>
      </c>
      <c r="F147" s="67" t="s">
        <v>232</v>
      </c>
      <c r="G147" s="42"/>
    </row>
    <row r="148" spans="1:7" x14ac:dyDescent="0.3">
      <c r="A148" s="70" t="s">
        <v>183</v>
      </c>
      <c r="B148" s="70">
        <f>SUM(B138:B147)</f>
        <v>15</v>
      </c>
      <c r="C148" s="66"/>
      <c r="D148" s="66"/>
      <c r="E148" s="66"/>
      <c r="F148" s="67"/>
      <c r="G148" s="42"/>
    </row>
    <row r="149" spans="1:7" ht="48" customHeight="1" x14ac:dyDescent="0.3">
      <c r="A149" s="122" t="s">
        <v>312</v>
      </c>
      <c r="B149" s="123"/>
      <c r="C149" s="123"/>
      <c r="D149" s="123"/>
      <c r="E149" s="123"/>
      <c r="F149" s="123"/>
      <c r="G149" s="124"/>
    </row>
    <row r="150" spans="1:7" x14ac:dyDescent="0.3">
      <c r="A150" s="119">
        <v>46309</v>
      </c>
      <c r="B150" s="120"/>
      <c r="C150" s="120"/>
      <c r="D150" s="120"/>
      <c r="E150" s="120"/>
      <c r="F150" s="121"/>
      <c r="G150" s="61"/>
    </row>
    <row r="151" spans="1:7" x14ac:dyDescent="0.3">
      <c r="A151" s="66" t="s">
        <v>302</v>
      </c>
      <c r="B151" s="66">
        <v>1</v>
      </c>
      <c r="C151" s="66">
        <v>2564</v>
      </c>
      <c r="D151" s="66" t="s">
        <v>313</v>
      </c>
      <c r="E151" s="66" t="s">
        <v>191</v>
      </c>
      <c r="F151" s="67" t="s">
        <v>303</v>
      </c>
      <c r="G151" s="42"/>
    </row>
    <row r="152" spans="1:7" x14ac:dyDescent="0.3">
      <c r="A152" s="66" t="s">
        <v>302</v>
      </c>
      <c r="B152" s="66">
        <v>1</v>
      </c>
      <c r="C152" s="66">
        <v>2564</v>
      </c>
      <c r="D152" s="66" t="s">
        <v>259</v>
      </c>
      <c r="E152" s="66" t="s">
        <v>191</v>
      </c>
      <c r="F152" s="67" t="s">
        <v>303</v>
      </c>
      <c r="G152" s="42"/>
    </row>
    <row r="153" spans="1:7" x14ac:dyDescent="0.3">
      <c r="A153" s="66" t="s">
        <v>119</v>
      </c>
      <c r="B153" s="66">
        <v>1</v>
      </c>
      <c r="C153" s="66">
        <v>3529</v>
      </c>
      <c r="D153" s="66" t="s">
        <v>314</v>
      </c>
      <c r="E153" s="66" t="s">
        <v>191</v>
      </c>
      <c r="F153" s="67" t="s">
        <v>120</v>
      </c>
      <c r="G153" s="42"/>
    </row>
    <row r="154" spans="1:7" x14ac:dyDescent="0.3">
      <c r="A154" s="70" t="s">
        <v>183</v>
      </c>
      <c r="B154" s="70">
        <f>SUM(B151:B153)</f>
        <v>3</v>
      </c>
      <c r="C154" s="66"/>
      <c r="D154" s="66"/>
      <c r="E154" s="66"/>
      <c r="F154" s="67"/>
      <c r="G154" s="42"/>
    </row>
    <row r="155" spans="1:7" x14ac:dyDescent="0.3">
      <c r="A155" s="66" t="s">
        <v>119</v>
      </c>
      <c r="B155" s="66">
        <v>3</v>
      </c>
      <c r="C155" s="66">
        <v>3333</v>
      </c>
      <c r="D155" s="66" t="s">
        <v>315</v>
      </c>
      <c r="E155" s="66" t="s">
        <v>179</v>
      </c>
      <c r="F155" s="67" t="s">
        <v>120</v>
      </c>
      <c r="G155" s="42"/>
    </row>
    <row r="156" spans="1:7" x14ac:dyDescent="0.3">
      <c r="A156" s="70" t="s">
        <v>183</v>
      </c>
      <c r="B156" s="70">
        <f>SUM(B155)</f>
        <v>3</v>
      </c>
      <c r="C156" s="66"/>
      <c r="D156" s="66"/>
      <c r="E156" s="66"/>
      <c r="F156" s="67"/>
      <c r="G156" s="42"/>
    </row>
    <row r="157" spans="1:7" ht="31.5" customHeight="1" x14ac:dyDescent="0.3">
      <c r="A157" s="122" t="s">
        <v>316</v>
      </c>
      <c r="B157" s="123"/>
      <c r="C157" s="123"/>
      <c r="D157" s="123"/>
      <c r="E157" s="123"/>
      <c r="F157" s="124"/>
      <c r="G157" s="42"/>
    </row>
    <row r="158" spans="1:7" x14ac:dyDescent="0.3">
      <c r="A158" s="66" t="s">
        <v>156</v>
      </c>
      <c r="B158" s="66">
        <v>4</v>
      </c>
      <c r="C158" s="66">
        <v>938</v>
      </c>
      <c r="D158" s="66" t="s">
        <v>315</v>
      </c>
      <c r="E158" s="66" t="s">
        <v>288</v>
      </c>
      <c r="F158" s="67" t="s">
        <v>289</v>
      </c>
      <c r="G158" s="42"/>
    </row>
    <row r="159" spans="1:7" x14ac:dyDescent="0.3">
      <c r="A159" s="66" t="s">
        <v>317</v>
      </c>
      <c r="B159" s="66">
        <v>1</v>
      </c>
      <c r="C159" s="66">
        <v>1603</v>
      </c>
      <c r="D159" s="66" t="s">
        <v>308</v>
      </c>
      <c r="E159" s="66" t="s">
        <v>288</v>
      </c>
      <c r="F159" s="67" t="s">
        <v>303</v>
      </c>
      <c r="G159" s="42"/>
    </row>
    <row r="160" spans="1:7" x14ac:dyDescent="0.3">
      <c r="A160" s="66" t="s">
        <v>317</v>
      </c>
      <c r="B160" s="66">
        <v>1</v>
      </c>
      <c r="C160" s="66">
        <v>2976</v>
      </c>
      <c r="D160" s="66" t="s">
        <v>224</v>
      </c>
      <c r="E160" s="66" t="s">
        <v>288</v>
      </c>
      <c r="F160" s="67" t="s">
        <v>303</v>
      </c>
      <c r="G160" s="42"/>
    </row>
    <row r="161" spans="1:7" x14ac:dyDescent="0.3">
      <c r="A161" s="66" t="s">
        <v>302</v>
      </c>
      <c r="B161" s="66">
        <v>1</v>
      </c>
      <c r="C161" s="66">
        <v>4762</v>
      </c>
      <c r="D161" s="66" t="s">
        <v>318</v>
      </c>
      <c r="E161" s="66" t="s">
        <v>288</v>
      </c>
      <c r="F161" s="67" t="s">
        <v>303</v>
      </c>
      <c r="G161" s="42"/>
    </row>
    <row r="162" spans="1:7" x14ac:dyDescent="0.3">
      <c r="A162" s="66" t="s">
        <v>302</v>
      </c>
      <c r="B162" s="66">
        <v>1</v>
      </c>
      <c r="C162" s="66">
        <v>4762</v>
      </c>
      <c r="D162" s="66" t="s">
        <v>259</v>
      </c>
      <c r="E162" s="66" t="s">
        <v>288</v>
      </c>
      <c r="F162" s="67" t="s">
        <v>303</v>
      </c>
      <c r="G162" s="42"/>
    </row>
    <row r="163" spans="1:7" x14ac:dyDescent="0.3">
      <c r="A163" s="66" t="s">
        <v>166</v>
      </c>
      <c r="B163" s="66">
        <v>8</v>
      </c>
      <c r="C163" s="66">
        <v>926</v>
      </c>
      <c r="D163" s="66" t="s">
        <v>319</v>
      </c>
      <c r="E163" s="66" t="s">
        <v>288</v>
      </c>
      <c r="F163" s="67" t="s">
        <v>167</v>
      </c>
      <c r="G163" s="42"/>
    </row>
    <row r="164" spans="1:7" x14ac:dyDescent="0.3">
      <c r="A164" s="66" t="s">
        <v>310</v>
      </c>
      <c r="B164" s="66">
        <v>1</v>
      </c>
      <c r="C164" s="66">
        <v>2222</v>
      </c>
      <c r="D164" s="66" t="s">
        <v>205</v>
      </c>
      <c r="E164" s="66" t="s">
        <v>288</v>
      </c>
      <c r="F164" s="67" t="s">
        <v>206</v>
      </c>
      <c r="G164" s="42"/>
    </row>
    <row r="165" spans="1:7" x14ac:dyDescent="0.3">
      <c r="A165" s="66" t="s">
        <v>310</v>
      </c>
      <c r="B165" s="66">
        <v>1</v>
      </c>
      <c r="C165" s="66">
        <v>2222</v>
      </c>
      <c r="D165" s="66" t="s">
        <v>320</v>
      </c>
      <c r="E165" s="66" t="s">
        <v>288</v>
      </c>
      <c r="F165" s="67" t="s">
        <v>206</v>
      </c>
      <c r="G165" s="42"/>
    </row>
    <row r="166" spans="1:7" x14ac:dyDescent="0.3">
      <c r="A166" s="66" t="s">
        <v>321</v>
      </c>
      <c r="B166" s="66">
        <v>1</v>
      </c>
      <c r="C166" s="66">
        <v>1603</v>
      </c>
      <c r="D166" s="66" t="s">
        <v>259</v>
      </c>
      <c r="E166" s="66" t="s">
        <v>288</v>
      </c>
      <c r="F166" s="67" t="s">
        <v>303</v>
      </c>
      <c r="G166" s="42"/>
    </row>
    <row r="167" spans="1:7" x14ac:dyDescent="0.3">
      <c r="A167" s="66" t="s">
        <v>321</v>
      </c>
      <c r="B167" s="66">
        <v>1</v>
      </c>
      <c r="C167" s="66">
        <v>2976</v>
      </c>
      <c r="D167" s="66" t="s">
        <v>322</v>
      </c>
      <c r="E167" s="66" t="s">
        <v>288</v>
      </c>
      <c r="F167" s="67" t="s">
        <v>303</v>
      </c>
      <c r="G167" s="42"/>
    </row>
    <row r="168" spans="1:7" x14ac:dyDescent="0.3">
      <c r="A168" s="70" t="s">
        <v>183</v>
      </c>
      <c r="B168" s="70">
        <f>SUM(B158:B167)</f>
        <v>20</v>
      </c>
      <c r="C168" s="66"/>
      <c r="D168" s="66"/>
      <c r="E168" s="66"/>
      <c r="F168" s="67"/>
      <c r="G168" s="42"/>
    </row>
    <row r="169" spans="1:7" ht="66" customHeight="1" x14ac:dyDescent="0.3">
      <c r="A169" s="122" t="s">
        <v>323</v>
      </c>
      <c r="B169" s="123"/>
      <c r="C169" s="123"/>
      <c r="D169" s="123"/>
      <c r="E169" s="123"/>
      <c r="F169" s="124"/>
      <c r="G169" s="42"/>
    </row>
    <row r="170" spans="1:7" x14ac:dyDescent="0.3">
      <c r="A170" s="119">
        <v>46310</v>
      </c>
      <c r="B170" s="120"/>
      <c r="C170" s="120"/>
      <c r="D170" s="120"/>
      <c r="E170" s="120"/>
      <c r="F170" s="121"/>
      <c r="G170" s="61"/>
    </row>
    <row r="171" spans="1:7" x14ac:dyDescent="0.3">
      <c r="A171" s="66" t="s">
        <v>324</v>
      </c>
      <c r="B171" s="66">
        <v>1</v>
      </c>
      <c r="C171" s="66">
        <v>500</v>
      </c>
      <c r="D171" s="66" t="s">
        <v>325</v>
      </c>
      <c r="E171" s="66" t="s">
        <v>179</v>
      </c>
      <c r="F171" s="67" t="s">
        <v>326</v>
      </c>
      <c r="G171" s="42" t="s">
        <v>327</v>
      </c>
    </row>
    <row r="172" spans="1:7" x14ac:dyDescent="0.3">
      <c r="A172" s="66" t="s">
        <v>324</v>
      </c>
      <c r="B172" s="66">
        <v>1</v>
      </c>
      <c r="C172" s="66">
        <v>500</v>
      </c>
      <c r="D172" s="66" t="s">
        <v>328</v>
      </c>
      <c r="E172" s="66" t="s">
        <v>179</v>
      </c>
      <c r="F172" s="67" t="s">
        <v>326</v>
      </c>
      <c r="G172" s="42"/>
    </row>
    <row r="173" spans="1:7" x14ac:dyDescent="0.3">
      <c r="A173" s="66" t="s">
        <v>324</v>
      </c>
      <c r="B173" s="66">
        <v>2</v>
      </c>
      <c r="C173" s="66">
        <v>1111</v>
      </c>
      <c r="D173" s="66" t="s">
        <v>329</v>
      </c>
      <c r="E173" s="66" t="s">
        <v>179</v>
      </c>
      <c r="F173" s="67" t="s">
        <v>268</v>
      </c>
      <c r="G173" s="42"/>
    </row>
    <row r="174" spans="1:7" x14ac:dyDescent="0.3">
      <c r="A174" s="66" t="s">
        <v>310</v>
      </c>
      <c r="B174" s="66">
        <v>1</v>
      </c>
      <c r="C174" s="66">
        <v>2222</v>
      </c>
      <c r="D174" s="66" t="s">
        <v>330</v>
      </c>
      <c r="E174" s="66" t="s">
        <v>179</v>
      </c>
      <c r="F174" s="67" t="s">
        <v>206</v>
      </c>
      <c r="G174" s="42"/>
    </row>
    <row r="175" spans="1:7" x14ac:dyDescent="0.3">
      <c r="A175" s="70" t="s">
        <v>183</v>
      </c>
      <c r="B175" s="70">
        <f>SUM(B171:B174)</f>
        <v>5</v>
      </c>
      <c r="C175" s="66"/>
      <c r="D175" s="66"/>
      <c r="E175" s="66"/>
      <c r="F175" s="67"/>
      <c r="G175" s="42"/>
    </row>
    <row r="176" spans="1:7" x14ac:dyDescent="0.3">
      <c r="A176" s="66" t="s">
        <v>331</v>
      </c>
      <c r="B176" s="66">
        <v>4</v>
      </c>
      <c r="C176" s="66">
        <v>2378</v>
      </c>
      <c r="D176" s="66" t="s">
        <v>219</v>
      </c>
      <c r="E176" s="66" t="s">
        <v>191</v>
      </c>
      <c r="F176" s="67" t="s">
        <v>332</v>
      </c>
      <c r="G176" s="42" t="s">
        <v>333</v>
      </c>
    </row>
    <row r="177" spans="1:7" x14ac:dyDescent="0.3">
      <c r="A177" s="70" t="s">
        <v>183</v>
      </c>
      <c r="B177" s="70">
        <f>SUM(B176)</f>
        <v>4</v>
      </c>
      <c r="C177" s="66"/>
      <c r="D177" s="66"/>
      <c r="E177" s="66"/>
      <c r="F177" s="67"/>
      <c r="G177" s="42"/>
    </row>
    <row r="178" spans="1:7" ht="33" customHeight="1" x14ac:dyDescent="0.3">
      <c r="A178" s="122" t="s">
        <v>334</v>
      </c>
      <c r="B178" s="123"/>
      <c r="C178" s="123"/>
      <c r="D178" s="123"/>
      <c r="E178" s="123"/>
      <c r="F178" s="123"/>
      <c r="G178" s="124"/>
    </row>
    <row r="179" spans="1:7" x14ac:dyDescent="0.3">
      <c r="A179" s="66" t="s">
        <v>335</v>
      </c>
      <c r="B179" s="66">
        <v>5</v>
      </c>
      <c r="C179" s="66">
        <v>4664</v>
      </c>
      <c r="D179" s="66" t="s">
        <v>195</v>
      </c>
      <c r="E179" s="66" t="s">
        <v>288</v>
      </c>
      <c r="F179" s="67" t="s">
        <v>336</v>
      </c>
      <c r="G179" s="42"/>
    </row>
    <row r="180" spans="1:7" x14ac:dyDescent="0.3">
      <c r="A180" s="66" t="s">
        <v>335</v>
      </c>
      <c r="B180" s="66">
        <v>1</v>
      </c>
      <c r="C180" s="66">
        <v>1237</v>
      </c>
      <c r="D180" s="66" t="s">
        <v>195</v>
      </c>
      <c r="E180" s="66" t="s">
        <v>288</v>
      </c>
      <c r="F180" s="67" t="s">
        <v>336</v>
      </c>
      <c r="G180" s="42"/>
    </row>
    <row r="181" spans="1:7" x14ac:dyDescent="0.3">
      <c r="A181" s="66" t="s">
        <v>337</v>
      </c>
      <c r="B181" s="66">
        <v>2</v>
      </c>
      <c r="C181" s="66">
        <v>3333</v>
      </c>
      <c r="D181" s="66" t="s">
        <v>237</v>
      </c>
      <c r="E181" s="66" t="s">
        <v>288</v>
      </c>
      <c r="F181" s="67" t="s">
        <v>235</v>
      </c>
      <c r="G181" s="42"/>
    </row>
    <row r="182" spans="1:7" x14ac:dyDescent="0.3">
      <c r="A182" s="66" t="s">
        <v>338</v>
      </c>
      <c r="B182" s="66">
        <v>5</v>
      </c>
      <c r="C182" s="66">
        <v>6667</v>
      </c>
      <c r="D182" s="66" t="s">
        <v>339</v>
      </c>
      <c r="E182" s="66" t="s">
        <v>288</v>
      </c>
      <c r="F182" s="67" t="s">
        <v>235</v>
      </c>
      <c r="G182" s="42"/>
    </row>
    <row r="183" spans="1:7" x14ac:dyDescent="0.3">
      <c r="A183" s="66" t="s">
        <v>338</v>
      </c>
      <c r="B183" s="66">
        <v>1</v>
      </c>
      <c r="C183" s="66">
        <v>6667</v>
      </c>
      <c r="D183" s="66" t="s">
        <v>340</v>
      </c>
      <c r="E183" s="66" t="s">
        <v>288</v>
      </c>
      <c r="F183" s="67" t="s">
        <v>235</v>
      </c>
      <c r="G183" s="42"/>
    </row>
    <row r="184" spans="1:7" x14ac:dyDescent="0.3">
      <c r="A184" s="66" t="s">
        <v>338</v>
      </c>
      <c r="B184" s="66">
        <v>3</v>
      </c>
      <c r="C184" s="66">
        <v>6667</v>
      </c>
      <c r="D184" s="66" t="s">
        <v>237</v>
      </c>
      <c r="E184" s="66" t="s">
        <v>288</v>
      </c>
      <c r="F184" s="67" t="s">
        <v>235</v>
      </c>
      <c r="G184" s="42"/>
    </row>
    <row r="185" spans="1:7" x14ac:dyDescent="0.3">
      <c r="A185" s="66" t="s">
        <v>338</v>
      </c>
      <c r="B185" s="66">
        <v>2</v>
      </c>
      <c r="C185" s="66">
        <v>6667</v>
      </c>
      <c r="D185" s="66" t="s">
        <v>215</v>
      </c>
      <c r="E185" s="66" t="s">
        <v>288</v>
      </c>
      <c r="F185" s="67" t="s">
        <v>235</v>
      </c>
      <c r="G185" s="42"/>
    </row>
    <row r="186" spans="1:7" x14ac:dyDescent="0.3">
      <c r="A186" s="66" t="s">
        <v>252</v>
      </c>
      <c r="B186" s="66">
        <v>2</v>
      </c>
      <c r="C186" s="66">
        <v>2706</v>
      </c>
      <c r="D186" s="66" t="s">
        <v>219</v>
      </c>
      <c r="E186" s="66" t="s">
        <v>288</v>
      </c>
      <c r="F186" s="67" t="s">
        <v>341</v>
      </c>
      <c r="G186" s="42"/>
    </row>
    <row r="187" spans="1:7" x14ac:dyDescent="0.3">
      <c r="A187" s="70" t="s">
        <v>183</v>
      </c>
      <c r="B187" s="70">
        <f>SUM(B179:B186)</f>
        <v>21</v>
      </c>
      <c r="C187" s="66"/>
      <c r="D187" s="66"/>
      <c r="E187" s="66"/>
      <c r="F187" s="67"/>
      <c r="G187" s="42"/>
    </row>
    <row r="188" spans="1:7" ht="48" customHeight="1" x14ac:dyDescent="0.3">
      <c r="A188" s="122" t="s">
        <v>342</v>
      </c>
      <c r="B188" s="123"/>
      <c r="C188" s="123"/>
      <c r="D188" s="123"/>
      <c r="E188" s="123"/>
      <c r="F188" s="124"/>
      <c r="G188" s="42"/>
    </row>
    <row r="189" spans="1:7" x14ac:dyDescent="0.3">
      <c r="A189" s="119">
        <v>46311</v>
      </c>
      <c r="B189" s="120"/>
      <c r="C189" s="120"/>
      <c r="D189" s="120"/>
      <c r="E189" s="120"/>
      <c r="F189" s="121"/>
      <c r="G189" s="61"/>
    </row>
    <row r="190" spans="1:7" x14ac:dyDescent="0.3">
      <c r="A190" s="66" t="s">
        <v>321</v>
      </c>
      <c r="B190" s="66">
        <v>2</v>
      </c>
      <c r="C190" s="66">
        <v>1603</v>
      </c>
      <c r="D190" s="66" t="s">
        <v>343</v>
      </c>
      <c r="E190" s="66" t="s">
        <v>179</v>
      </c>
      <c r="F190" s="67" t="s">
        <v>344</v>
      </c>
      <c r="G190" s="42" t="s">
        <v>345</v>
      </c>
    </row>
    <row r="191" spans="1:7" x14ac:dyDescent="0.3">
      <c r="A191" s="66" t="s">
        <v>317</v>
      </c>
      <c r="B191" s="66">
        <v>1</v>
      </c>
      <c r="C191" s="66">
        <v>1603</v>
      </c>
      <c r="D191" s="66" t="s">
        <v>343</v>
      </c>
      <c r="E191" s="66" t="s">
        <v>179</v>
      </c>
      <c r="F191" s="67" t="s">
        <v>344</v>
      </c>
      <c r="G191" s="42" t="s">
        <v>346</v>
      </c>
    </row>
    <row r="192" spans="1:7" x14ac:dyDescent="0.3">
      <c r="A192" s="66" t="s">
        <v>335</v>
      </c>
      <c r="B192" s="66">
        <v>1</v>
      </c>
      <c r="C192" s="66">
        <v>4664</v>
      </c>
      <c r="D192" s="66" t="s">
        <v>195</v>
      </c>
      <c r="E192" s="66" t="s">
        <v>179</v>
      </c>
      <c r="F192" s="67" t="s">
        <v>336</v>
      </c>
      <c r="G192" s="42" t="s">
        <v>347</v>
      </c>
    </row>
    <row r="193" spans="1:7" x14ac:dyDescent="0.3">
      <c r="A193" s="70" t="s">
        <v>183</v>
      </c>
      <c r="B193" s="70">
        <f>SUM(B190:B192)</f>
        <v>4</v>
      </c>
      <c r="C193" s="66"/>
      <c r="D193" s="66"/>
      <c r="E193" s="66"/>
      <c r="F193" s="67"/>
      <c r="G193" s="42"/>
    </row>
    <row r="194" spans="1:7" x14ac:dyDescent="0.3">
      <c r="A194" s="66" t="s">
        <v>305</v>
      </c>
      <c r="B194" s="66">
        <v>2</v>
      </c>
      <c r="C194" s="66">
        <v>821</v>
      </c>
      <c r="D194" s="66" t="s">
        <v>348</v>
      </c>
      <c r="E194" s="66" t="s">
        <v>191</v>
      </c>
      <c r="F194" s="67" t="s">
        <v>306</v>
      </c>
      <c r="G194" s="42" t="s">
        <v>349</v>
      </c>
    </row>
    <row r="195" spans="1:7" x14ac:dyDescent="0.3">
      <c r="A195" s="66" t="s">
        <v>233</v>
      </c>
      <c r="B195" s="66">
        <v>2.5</v>
      </c>
      <c r="C195" s="66">
        <v>5778</v>
      </c>
      <c r="D195" s="66" t="s">
        <v>350</v>
      </c>
      <c r="E195" s="66" t="s">
        <v>191</v>
      </c>
      <c r="F195" s="67" t="s">
        <v>235</v>
      </c>
      <c r="G195" s="42"/>
    </row>
    <row r="196" spans="1:7" x14ac:dyDescent="0.3">
      <c r="A196" s="70" t="s">
        <v>183</v>
      </c>
      <c r="B196" s="70">
        <f>SUM(B194:B195)</f>
        <v>4.5</v>
      </c>
      <c r="C196" s="66"/>
      <c r="D196" s="66"/>
      <c r="E196" s="66"/>
      <c r="F196" s="67"/>
      <c r="G196" s="42"/>
    </row>
    <row r="197" spans="1:7" ht="44.25" customHeight="1" x14ac:dyDescent="0.3">
      <c r="A197" s="122" t="s">
        <v>351</v>
      </c>
      <c r="B197" s="123"/>
      <c r="C197" s="123"/>
      <c r="D197" s="123"/>
      <c r="E197" s="123"/>
      <c r="F197" s="123"/>
      <c r="G197" s="124"/>
    </row>
    <row r="198" spans="1:7" x14ac:dyDescent="0.3">
      <c r="A198" s="66" t="s">
        <v>305</v>
      </c>
      <c r="B198" s="66">
        <v>1</v>
      </c>
      <c r="C198" s="66">
        <v>821</v>
      </c>
      <c r="D198" s="66" t="s">
        <v>352</v>
      </c>
      <c r="E198" s="66" t="s">
        <v>288</v>
      </c>
      <c r="F198" s="67" t="s">
        <v>306</v>
      </c>
      <c r="G198" s="42"/>
    </row>
    <row r="199" spans="1:7" x14ac:dyDescent="0.3">
      <c r="A199" s="66" t="s">
        <v>305</v>
      </c>
      <c r="B199" s="66">
        <v>1</v>
      </c>
      <c r="C199" s="66">
        <v>821</v>
      </c>
      <c r="D199" s="66" t="s">
        <v>353</v>
      </c>
      <c r="E199" s="66" t="s">
        <v>288</v>
      </c>
      <c r="F199" s="67" t="s">
        <v>306</v>
      </c>
      <c r="G199" s="42"/>
    </row>
    <row r="200" spans="1:7" x14ac:dyDescent="0.3">
      <c r="A200" s="66" t="s">
        <v>305</v>
      </c>
      <c r="B200" s="66">
        <v>1</v>
      </c>
      <c r="C200" s="66">
        <v>821</v>
      </c>
      <c r="D200" s="66" t="s">
        <v>354</v>
      </c>
      <c r="E200" s="66" t="s">
        <v>288</v>
      </c>
      <c r="F200" s="67" t="s">
        <v>306</v>
      </c>
      <c r="G200" s="42"/>
    </row>
    <row r="201" spans="1:7" x14ac:dyDescent="0.3">
      <c r="A201" s="66" t="s">
        <v>355</v>
      </c>
      <c r="B201" s="66">
        <v>4</v>
      </c>
      <c r="C201" s="66">
        <v>2778</v>
      </c>
      <c r="D201" s="66" t="s">
        <v>219</v>
      </c>
      <c r="E201" s="66" t="s">
        <v>288</v>
      </c>
      <c r="F201" s="67" t="s">
        <v>356</v>
      </c>
      <c r="G201" s="42"/>
    </row>
    <row r="202" spans="1:7" x14ac:dyDescent="0.3">
      <c r="A202" s="66" t="s">
        <v>357</v>
      </c>
      <c r="B202" s="66">
        <v>1</v>
      </c>
      <c r="C202" s="66">
        <v>6667</v>
      </c>
      <c r="D202" s="66" t="s">
        <v>219</v>
      </c>
      <c r="E202" s="66" t="s">
        <v>288</v>
      </c>
      <c r="F202" s="67" t="s">
        <v>211</v>
      </c>
      <c r="G202" s="42"/>
    </row>
    <row r="203" spans="1:7" x14ac:dyDescent="0.3">
      <c r="A203" s="66" t="s">
        <v>357</v>
      </c>
      <c r="B203" s="66">
        <v>1</v>
      </c>
      <c r="C203" s="66">
        <v>13333</v>
      </c>
      <c r="D203" s="66" t="s">
        <v>219</v>
      </c>
      <c r="E203" s="66" t="s">
        <v>288</v>
      </c>
      <c r="F203" s="67" t="s">
        <v>211</v>
      </c>
      <c r="G203" s="42"/>
    </row>
    <row r="204" spans="1:7" x14ac:dyDescent="0.3">
      <c r="A204" s="66" t="s">
        <v>338</v>
      </c>
      <c r="B204" s="66">
        <v>1</v>
      </c>
      <c r="C204" s="66">
        <v>6667</v>
      </c>
      <c r="D204" s="66" t="s">
        <v>358</v>
      </c>
      <c r="E204" s="66" t="s">
        <v>288</v>
      </c>
      <c r="F204" s="67" t="s">
        <v>235</v>
      </c>
      <c r="G204" s="42"/>
    </row>
    <row r="205" spans="1:7" x14ac:dyDescent="0.3">
      <c r="A205" s="66" t="s">
        <v>359</v>
      </c>
      <c r="B205" s="66">
        <v>6</v>
      </c>
      <c r="C205" s="66">
        <v>2706</v>
      </c>
      <c r="D205" s="66" t="s">
        <v>270</v>
      </c>
      <c r="E205" s="66" t="s">
        <v>288</v>
      </c>
      <c r="F205" s="67" t="s">
        <v>360</v>
      </c>
      <c r="G205" s="42"/>
    </row>
    <row r="206" spans="1:7" x14ac:dyDescent="0.3">
      <c r="A206" s="66" t="s">
        <v>361</v>
      </c>
      <c r="B206" s="66">
        <v>1</v>
      </c>
      <c r="C206" s="66">
        <v>5556</v>
      </c>
      <c r="D206" s="66" t="s">
        <v>362</v>
      </c>
      <c r="E206" s="66" t="s">
        <v>288</v>
      </c>
      <c r="F206" s="67" t="s">
        <v>363</v>
      </c>
      <c r="G206" s="42"/>
    </row>
    <row r="207" spans="1:7" x14ac:dyDescent="0.3">
      <c r="A207" s="66" t="s">
        <v>233</v>
      </c>
      <c r="B207" s="66">
        <v>1</v>
      </c>
      <c r="C207" s="66">
        <v>3894</v>
      </c>
      <c r="D207" s="66" t="s">
        <v>350</v>
      </c>
      <c r="E207" s="66" t="s">
        <v>288</v>
      </c>
      <c r="F207" s="67" t="s">
        <v>235</v>
      </c>
      <c r="G207" s="42" t="s">
        <v>364</v>
      </c>
    </row>
    <row r="208" spans="1:7" x14ac:dyDescent="0.3">
      <c r="A208" s="70" t="s">
        <v>183</v>
      </c>
      <c r="B208" s="70">
        <f>SUM(B198:B207)</f>
        <v>18</v>
      </c>
      <c r="C208" s="66"/>
      <c r="D208" s="66"/>
      <c r="E208" s="66"/>
      <c r="F208" s="67"/>
      <c r="G208" s="42"/>
    </row>
    <row r="209" spans="1:7" ht="30.75" customHeight="1" x14ac:dyDescent="0.3">
      <c r="A209" s="122" t="s">
        <v>365</v>
      </c>
      <c r="B209" s="123"/>
      <c r="C209" s="123"/>
      <c r="D209" s="123"/>
      <c r="E209" s="123"/>
      <c r="F209" s="123"/>
      <c r="G209" s="124"/>
    </row>
    <row r="210" spans="1:7" x14ac:dyDescent="0.3">
      <c r="A210" s="119">
        <v>46312</v>
      </c>
      <c r="B210" s="120"/>
      <c r="C210" s="120"/>
      <c r="D210" s="120"/>
      <c r="E210" s="120"/>
      <c r="F210" s="121"/>
      <c r="G210" s="61"/>
    </row>
    <row r="211" spans="1:7" x14ac:dyDescent="0.3">
      <c r="A211" s="66" t="s">
        <v>119</v>
      </c>
      <c r="B211" s="66">
        <v>1</v>
      </c>
      <c r="C211" s="66">
        <v>3529</v>
      </c>
      <c r="D211" s="66" t="s">
        <v>219</v>
      </c>
      <c r="E211" s="66" t="s">
        <v>179</v>
      </c>
      <c r="F211" s="67" t="s">
        <v>120</v>
      </c>
      <c r="G211" s="42"/>
    </row>
    <row r="212" spans="1:7" x14ac:dyDescent="0.3">
      <c r="A212" s="70" t="s">
        <v>183</v>
      </c>
      <c r="B212" s="70">
        <f>SUM(B211)</f>
        <v>1</v>
      </c>
      <c r="C212" s="66"/>
      <c r="D212" s="66"/>
      <c r="E212" s="66"/>
      <c r="F212" s="67"/>
      <c r="G212" s="42"/>
    </row>
    <row r="213" spans="1:7" x14ac:dyDescent="0.3">
      <c r="A213" s="119">
        <v>46314</v>
      </c>
      <c r="B213" s="120"/>
      <c r="C213" s="120"/>
      <c r="D213" s="120"/>
      <c r="E213" s="120"/>
      <c r="F213" s="121"/>
      <c r="G213" s="61"/>
    </row>
    <row r="214" spans="1:7" x14ac:dyDescent="0.3">
      <c r="A214" s="66" t="s">
        <v>335</v>
      </c>
      <c r="B214" s="66">
        <v>4</v>
      </c>
      <c r="C214" s="66">
        <v>3731</v>
      </c>
      <c r="D214" s="66" t="s">
        <v>214</v>
      </c>
      <c r="E214" s="66" t="s">
        <v>409</v>
      </c>
      <c r="F214" s="67" t="s">
        <v>336</v>
      </c>
      <c r="G214" s="42"/>
    </row>
    <row r="215" spans="1:7" x14ac:dyDescent="0.3">
      <c r="A215" s="66" t="s">
        <v>404</v>
      </c>
      <c r="B215" s="66">
        <v>1</v>
      </c>
      <c r="C215" s="66">
        <v>1603</v>
      </c>
      <c r="D215" s="66" t="s">
        <v>309</v>
      </c>
      <c r="E215" s="66" t="s">
        <v>409</v>
      </c>
      <c r="F215" s="67" t="s">
        <v>410</v>
      </c>
      <c r="G215" s="42"/>
    </row>
    <row r="216" spans="1:7" x14ac:dyDescent="0.3">
      <c r="A216" s="66" t="s">
        <v>404</v>
      </c>
      <c r="B216" s="66">
        <v>1</v>
      </c>
      <c r="C216" s="66">
        <v>1603</v>
      </c>
      <c r="D216" s="66" t="s">
        <v>406</v>
      </c>
      <c r="E216" s="66" t="s">
        <v>409</v>
      </c>
      <c r="F216" s="67" t="s">
        <v>410</v>
      </c>
      <c r="G216" s="42"/>
    </row>
    <row r="217" spans="1:7" x14ac:dyDescent="0.3">
      <c r="A217" s="66" t="s">
        <v>405</v>
      </c>
      <c r="B217" s="66">
        <v>1</v>
      </c>
      <c r="C217" s="66">
        <v>1603</v>
      </c>
      <c r="D217" s="66" t="s">
        <v>407</v>
      </c>
      <c r="E217" s="66" t="s">
        <v>409</v>
      </c>
      <c r="F217" s="67" t="s">
        <v>411</v>
      </c>
      <c r="G217" s="42"/>
    </row>
    <row r="218" spans="1:7" x14ac:dyDescent="0.3">
      <c r="A218" s="66" t="s">
        <v>357</v>
      </c>
      <c r="B218" s="66">
        <v>2</v>
      </c>
      <c r="C218" s="66">
        <v>1333</v>
      </c>
      <c r="D218" s="66" t="s">
        <v>408</v>
      </c>
      <c r="E218" s="66" t="s">
        <v>409</v>
      </c>
      <c r="F218" s="67" t="s">
        <v>211</v>
      </c>
      <c r="G218" s="42"/>
    </row>
    <row r="219" spans="1:7" x14ac:dyDescent="0.3">
      <c r="A219" s="70" t="s">
        <v>183</v>
      </c>
      <c r="B219" s="70">
        <f>SUM(B214:B218)</f>
        <v>9</v>
      </c>
      <c r="C219" s="66"/>
      <c r="D219" s="66"/>
      <c r="E219" s="66"/>
      <c r="F219" s="67"/>
      <c r="G219" s="42"/>
    </row>
    <row r="220" spans="1:7" x14ac:dyDescent="0.3">
      <c r="A220" s="66" t="s">
        <v>412</v>
      </c>
      <c r="B220" s="66">
        <v>2</v>
      </c>
      <c r="C220" s="66">
        <v>1917</v>
      </c>
      <c r="D220" s="66" t="s">
        <v>219</v>
      </c>
      <c r="E220" s="66" t="s">
        <v>220</v>
      </c>
      <c r="F220" s="67" t="s">
        <v>223</v>
      </c>
      <c r="G220" s="42"/>
    </row>
    <row r="221" spans="1:7" x14ac:dyDescent="0.3">
      <c r="A221" s="66" t="s">
        <v>412</v>
      </c>
      <c r="B221" s="66">
        <v>1</v>
      </c>
      <c r="C221" s="66">
        <v>1917</v>
      </c>
      <c r="D221" s="66" t="s">
        <v>414</v>
      </c>
      <c r="E221" s="66" t="s">
        <v>220</v>
      </c>
      <c r="F221" s="67" t="s">
        <v>223</v>
      </c>
      <c r="G221" s="42"/>
    </row>
    <row r="222" spans="1:7" x14ac:dyDescent="0.3">
      <c r="A222" s="66" t="s">
        <v>412</v>
      </c>
      <c r="B222" s="66">
        <v>3</v>
      </c>
      <c r="C222" s="66">
        <v>1327</v>
      </c>
      <c r="D222" s="66" t="s">
        <v>307</v>
      </c>
      <c r="E222" s="66" t="s">
        <v>220</v>
      </c>
      <c r="F222" s="67" t="s">
        <v>223</v>
      </c>
      <c r="G222" s="42"/>
    </row>
    <row r="223" spans="1:7" x14ac:dyDescent="0.3">
      <c r="A223" s="66" t="s">
        <v>413</v>
      </c>
      <c r="B223" s="66">
        <v>1</v>
      </c>
      <c r="C223" s="66">
        <v>1917</v>
      </c>
      <c r="D223" s="66" t="s">
        <v>414</v>
      </c>
      <c r="E223" s="66" t="s">
        <v>220</v>
      </c>
      <c r="F223" s="67" t="s">
        <v>221</v>
      </c>
      <c r="G223" s="42"/>
    </row>
    <row r="224" spans="1:7" x14ac:dyDescent="0.3">
      <c r="A224" s="66" t="s">
        <v>413</v>
      </c>
      <c r="B224" s="66">
        <v>1</v>
      </c>
      <c r="C224" s="66">
        <v>1327</v>
      </c>
      <c r="D224" s="66" t="s">
        <v>307</v>
      </c>
      <c r="E224" s="66" t="s">
        <v>220</v>
      </c>
      <c r="F224" s="67" t="s">
        <v>221</v>
      </c>
      <c r="G224" s="42"/>
    </row>
    <row r="225" spans="1:7" x14ac:dyDescent="0.3">
      <c r="A225" s="66" t="s">
        <v>335</v>
      </c>
      <c r="B225" s="66">
        <v>1</v>
      </c>
      <c r="C225" s="66">
        <v>3731</v>
      </c>
      <c r="D225" s="66" t="s">
        <v>415</v>
      </c>
      <c r="E225" s="66" t="s">
        <v>220</v>
      </c>
      <c r="F225" s="67" t="s">
        <v>336</v>
      </c>
      <c r="G225" s="42"/>
    </row>
    <row r="226" spans="1:7" x14ac:dyDescent="0.3">
      <c r="A226" s="66" t="s">
        <v>335</v>
      </c>
      <c r="B226" s="66">
        <v>1</v>
      </c>
      <c r="C226" s="66">
        <v>2140</v>
      </c>
      <c r="D226" s="66" t="s">
        <v>415</v>
      </c>
      <c r="E226" s="66" t="s">
        <v>220</v>
      </c>
      <c r="F226" s="67" t="s">
        <v>336</v>
      </c>
      <c r="G226" s="42"/>
    </row>
    <row r="227" spans="1:7" x14ac:dyDescent="0.3">
      <c r="A227" s="66" t="s">
        <v>335</v>
      </c>
      <c r="B227" s="66">
        <v>1</v>
      </c>
      <c r="C227" s="66">
        <v>1591</v>
      </c>
      <c r="D227" s="66" t="s">
        <v>203</v>
      </c>
      <c r="E227" s="66" t="s">
        <v>220</v>
      </c>
      <c r="F227" s="67" t="s">
        <v>336</v>
      </c>
      <c r="G227" s="42"/>
    </row>
    <row r="228" spans="1:7" x14ac:dyDescent="0.3">
      <c r="A228" s="66" t="s">
        <v>361</v>
      </c>
      <c r="B228" s="66">
        <v>4</v>
      </c>
      <c r="C228" s="66">
        <v>5556</v>
      </c>
      <c r="D228" s="66" t="s">
        <v>203</v>
      </c>
      <c r="E228" s="66" t="s">
        <v>220</v>
      </c>
      <c r="F228" s="67" t="s">
        <v>363</v>
      </c>
      <c r="G228" s="42"/>
    </row>
    <row r="229" spans="1:7" x14ac:dyDescent="0.3">
      <c r="A229" s="66" t="s">
        <v>361</v>
      </c>
      <c r="B229" s="66">
        <v>1</v>
      </c>
      <c r="C229" s="66">
        <v>3896</v>
      </c>
      <c r="D229" s="66" t="s">
        <v>203</v>
      </c>
      <c r="E229" s="66" t="s">
        <v>220</v>
      </c>
      <c r="F229" s="67" t="s">
        <v>363</v>
      </c>
      <c r="G229" s="42"/>
    </row>
    <row r="230" spans="1:7" x14ac:dyDescent="0.3">
      <c r="A230" s="66" t="s">
        <v>361</v>
      </c>
      <c r="B230" s="66">
        <v>1</v>
      </c>
      <c r="C230" s="66">
        <v>1660</v>
      </c>
      <c r="D230" s="66" t="s">
        <v>203</v>
      </c>
      <c r="E230" s="66" t="s">
        <v>220</v>
      </c>
      <c r="F230" s="67" t="s">
        <v>363</v>
      </c>
      <c r="G230" s="42"/>
    </row>
    <row r="231" spans="1:7" x14ac:dyDescent="0.3">
      <c r="A231" s="66" t="s">
        <v>361</v>
      </c>
      <c r="B231" s="66">
        <v>1</v>
      </c>
      <c r="C231" s="66">
        <v>4983</v>
      </c>
      <c r="D231" s="66" t="s">
        <v>203</v>
      </c>
      <c r="E231" s="66" t="s">
        <v>220</v>
      </c>
      <c r="F231" s="67" t="s">
        <v>363</v>
      </c>
      <c r="G231" s="42"/>
    </row>
    <row r="232" spans="1:7" x14ac:dyDescent="0.3">
      <c r="A232" s="66" t="s">
        <v>361</v>
      </c>
      <c r="B232" s="66">
        <v>1</v>
      </c>
      <c r="C232" s="66">
        <v>575</v>
      </c>
      <c r="D232" s="66" t="s">
        <v>203</v>
      </c>
      <c r="E232" s="66" t="s">
        <v>220</v>
      </c>
      <c r="F232" s="67" t="s">
        <v>363</v>
      </c>
      <c r="G232" s="42"/>
    </row>
    <row r="233" spans="1:7" x14ac:dyDescent="0.3">
      <c r="A233" s="70" t="s">
        <v>183</v>
      </c>
      <c r="B233" s="70">
        <f>SUM(B220:B232)</f>
        <v>19</v>
      </c>
      <c r="C233" s="66"/>
      <c r="D233" s="66"/>
      <c r="E233" s="66"/>
      <c r="F233" s="67"/>
      <c r="G233" s="42"/>
    </row>
    <row r="234" spans="1:7" x14ac:dyDescent="0.3">
      <c r="A234" s="119">
        <v>46315</v>
      </c>
      <c r="B234" s="120"/>
      <c r="C234" s="120"/>
      <c r="D234" s="120"/>
      <c r="E234" s="120"/>
      <c r="F234" s="121"/>
      <c r="G234" s="61"/>
    </row>
    <row r="235" spans="1:7" x14ac:dyDescent="0.3">
      <c r="A235" s="66" t="s">
        <v>434</v>
      </c>
      <c r="B235" s="66">
        <v>5</v>
      </c>
      <c r="C235" s="66">
        <v>2778</v>
      </c>
      <c r="D235" s="66" t="s">
        <v>203</v>
      </c>
      <c r="E235" s="66" t="s">
        <v>50</v>
      </c>
      <c r="F235" s="67" t="s">
        <v>363</v>
      </c>
      <c r="G235" s="42"/>
    </row>
    <row r="236" spans="1:7" x14ac:dyDescent="0.3">
      <c r="A236" s="66" t="s">
        <v>403</v>
      </c>
      <c r="B236" s="66">
        <v>1</v>
      </c>
      <c r="C236" s="66">
        <v>6667</v>
      </c>
      <c r="D236" s="66" t="s">
        <v>219</v>
      </c>
      <c r="E236" s="66" t="s">
        <v>198</v>
      </c>
      <c r="F236" s="67" t="s">
        <v>401</v>
      </c>
      <c r="G236" s="42"/>
    </row>
    <row r="237" spans="1:7" x14ac:dyDescent="0.3">
      <c r="A237" s="70" t="s">
        <v>183</v>
      </c>
      <c r="B237" s="70">
        <f>SUM(B235:B236)</f>
        <v>6</v>
      </c>
      <c r="C237" s="66"/>
      <c r="D237" s="66"/>
      <c r="E237" s="66"/>
      <c r="F237" s="67"/>
      <c r="G237" s="42"/>
    </row>
    <row r="238" spans="1:7" x14ac:dyDescent="0.3">
      <c r="A238" s="66" t="s">
        <v>434</v>
      </c>
      <c r="B238" s="66">
        <v>1</v>
      </c>
      <c r="C238" s="66">
        <v>2778</v>
      </c>
      <c r="D238" s="66" t="s">
        <v>203</v>
      </c>
      <c r="E238" s="66" t="s">
        <v>220</v>
      </c>
      <c r="F238" s="67" t="s">
        <v>363</v>
      </c>
      <c r="G238" s="42"/>
    </row>
    <row r="239" spans="1:7" x14ac:dyDescent="0.3">
      <c r="A239" s="66" t="s">
        <v>434</v>
      </c>
      <c r="B239" s="66">
        <v>4</v>
      </c>
      <c r="C239" s="66">
        <v>2778</v>
      </c>
      <c r="D239" s="66" t="s">
        <v>435</v>
      </c>
      <c r="E239" s="66" t="s">
        <v>220</v>
      </c>
      <c r="F239" s="67" t="s">
        <v>363</v>
      </c>
      <c r="G239" s="42"/>
    </row>
    <row r="240" spans="1:7" x14ac:dyDescent="0.3">
      <c r="A240" s="66" t="s">
        <v>434</v>
      </c>
      <c r="B240" s="66">
        <v>1</v>
      </c>
      <c r="C240" s="66">
        <v>2778</v>
      </c>
      <c r="D240" s="66" t="s">
        <v>436</v>
      </c>
      <c r="E240" s="66" t="s">
        <v>220</v>
      </c>
      <c r="F240" s="67" t="s">
        <v>363</v>
      </c>
      <c r="G240" s="42"/>
    </row>
    <row r="241" spans="1:7" x14ac:dyDescent="0.3">
      <c r="A241" s="66" t="s">
        <v>434</v>
      </c>
      <c r="B241" s="66">
        <v>1</v>
      </c>
      <c r="C241" s="66">
        <v>2778</v>
      </c>
      <c r="D241" s="66" t="s">
        <v>437</v>
      </c>
      <c r="E241" s="66" t="s">
        <v>220</v>
      </c>
      <c r="F241" s="67" t="s">
        <v>363</v>
      </c>
      <c r="G241" s="42"/>
    </row>
    <row r="242" spans="1:7" x14ac:dyDescent="0.3">
      <c r="A242" s="66" t="s">
        <v>438</v>
      </c>
      <c r="B242" s="66">
        <v>1</v>
      </c>
      <c r="C242" s="66">
        <v>4664</v>
      </c>
      <c r="D242" s="66" t="s">
        <v>415</v>
      </c>
      <c r="E242" s="66" t="s">
        <v>220</v>
      </c>
      <c r="F242" s="67" t="s">
        <v>444</v>
      </c>
      <c r="G242" s="42"/>
    </row>
    <row r="243" spans="1:7" x14ac:dyDescent="0.3">
      <c r="A243" s="66" t="s">
        <v>438</v>
      </c>
      <c r="B243" s="66">
        <v>3</v>
      </c>
      <c r="C243" s="66">
        <v>4664</v>
      </c>
      <c r="D243" s="66" t="s">
        <v>440</v>
      </c>
      <c r="E243" s="66" t="s">
        <v>220</v>
      </c>
      <c r="F243" s="67" t="s">
        <v>444</v>
      </c>
      <c r="G243" s="42"/>
    </row>
    <row r="244" spans="1:7" x14ac:dyDescent="0.3">
      <c r="A244" s="66" t="s">
        <v>403</v>
      </c>
      <c r="B244" s="66">
        <v>4</v>
      </c>
      <c r="C244" s="66">
        <v>6667</v>
      </c>
      <c r="D244" s="66" t="s">
        <v>441</v>
      </c>
      <c r="E244" s="66" t="s">
        <v>220</v>
      </c>
      <c r="F244" s="67" t="s">
        <v>401</v>
      </c>
      <c r="G244" s="42"/>
    </row>
    <row r="245" spans="1:7" x14ac:dyDescent="0.3">
      <c r="A245" s="66" t="s">
        <v>439</v>
      </c>
      <c r="B245" s="66">
        <v>3</v>
      </c>
      <c r="C245" s="66">
        <v>1176</v>
      </c>
      <c r="D245" s="66" t="s">
        <v>419</v>
      </c>
      <c r="E245" s="66" t="s">
        <v>220</v>
      </c>
      <c r="F245" s="67" t="s">
        <v>445</v>
      </c>
      <c r="G245" s="42"/>
    </row>
    <row r="246" spans="1:7" x14ac:dyDescent="0.3">
      <c r="A246" s="66" t="s">
        <v>439</v>
      </c>
      <c r="B246" s="66">
        <v>2</v>
      </c>
      <c r="C246" s="66">
        <v>1176</v>
      </c>
      <c r="D246" s="66" t="s">
        <v>442</v>
      </c>
      <c r="E246" s="66" t="s">
        <v>220</v>
      </c>
      <c r="F246" s="67" t="s">
        <v>445</v>
      </c>
      <c r="G246" s="42"/>
    </row>
    <row r="247" spans="1:7" x14ac:dyDescent="0.3">
      <c r="A247" s="70" t="s">
        <v>183</v>
      </c>
      <c r="B247" s="70">
        <f>SUM(B238:B246)</f>
        <v>20</v>
      </c>
      <c r="C247" s="66"/>
      <c r="D247" s="66"/>
      <c r="E247" s="66"/>
      <c r="F247" s="67"/>
      <c r="G247" s="42"/>
    </row>
    <row r="248" spans="1:7" x14ac:dyDescent="0.3">
      <c r="A248" s="119">
        <v>46316</v>
      </c>
      <c r="B248" s="120"/>
      <c r="C248" s="120"/>
      <c r="D248" s="120"/>
      <c r="E248" s="120"/>
      <c r="F248" s="120"/>
      <c r="G248" s="121"/>
    </row>
    <row r="249" spans="1:7" x14ac:dyDescent="0.3">
      <c r="A249" s="66" t="s">
        <v>355</v>
      </c>
      <c r="B249" s="66">
        <v>4</v>
      </c>
      <c r="C249" s="66">
        <v>2778</v>
      </c>
      <c r="D249" s="66" t="s">
        <v>416</v>
      </c>
      <c r="E249" s="66" t="s">
        <v>50</v>
      </c>
      <c r="F249" s="67" t="s">
        <v>356</v>
      </c>
      <c r="G249" s="42" t="s">
        <v>417</v>
      </c>
    </row>
    <row r="250" spans="1:7" x14ac:dyDescent="0.3">
      <c r="A250" s="70" t="s">
        <v>183</v>
      </c>
      <c r="B250" s="70">
        <f>SUM(B249)</f>
        <v>4</v>
      </c>
      <c r="C250" s="66"/>
      <c r="D250" s="66"/>
      <c r="E250" s="66"/>
      <c r="F250" s="67"/>
      <c r="G250" s="42"/>
    </row>
    <row r="251" spans="1:7" x14ac:dyDescent="0.3">
      <c r="A251" s="66" t="s">
        <v>418</v>
      </c>
      <c r="B251" s="66">
        <v>1</v>
      </c>
      <c r="C251" s="66">
        <v>1111</v>
      </c>
      <c r="D251" s="66" t="s">
        <v>419</v>
      </c>
      <c r="E251" s="66" t="s">
        <v>191</v>
      </c>
      <c r="F251" s="67" t="s">
        <v>44</v>
      </c>
      <c r="G251" s="42"/>
    </row>
    <row r="252" spans="1:7" x14ac:dyDescent="0.3">
      <c r="A252" s="66" t="s">
        <v>392</v>
      </c>
      <c r="B252" s="66">
        <v>3</v>
      </c>
      <c r="C252" s="66">
        <v>2222</v>
      </c>
      <c r="D252" s="66" t="s">
        <v>257</v>
      </c>
      <c r="E252" s="66" t="s">
        <v>191</v>
      </c>
      <c r="F252" s="67" t="s">
        <v>395</v>
      </c>
      <c r="G252" s="42" t="s">
        <v>456</v>
      </c>
    </row>
    <row r="253" spans="1:7" x14ac:dyDescent="0.3">
      <c r="A253" s="70" t="s">
        <v>183</v>
      </c>
      <c r="B253" s="70">
        <f>SUM(B251:B252)</f>
        <v>4</v>
      </c>
      <c r="C253" s="66"/>
      <c r="D253" s="66"/>
      <c r="E253" s="66"/>
      <c r="F253" s="67"/>
      <c r="G253" s="42"/>
    </row>
    <row r="254" spans="1:7" x14ac:dyDescent="0.3">
      <c r="A254" s="66" t="s">
        <v>355</v>
      </c>
      <c r="B254" s="66">
        <v>3</v>
      </c>
      <c r="C254" s="66">
        <v>5556</v>
      </c>
      <c r="D254" s="66" t="s">
        <v>423</v>
      </c>
      <c r="E254" s="66" t="s">
        <v>220</v>
      </c>
      <c r="F254" s="67" t="s">
        <v>363</v>
      </c>
      <c r="G254" s="42"/>
    </row>
    <row r="255" spans="1:7" x14ac:dyDescent="0.3">
      <c r="A255" s="66" t="s">
        <v>398</v>
      </c>
      <c r="B255" s="66">
        <v>3</v>
      </c>
      <c r="C255" s="66">
        <v>5556</v>
      </c>
      <c r="D255" s="66" t="s">
        <v>424</v>
      </c>
      <c r="E255" s="66" t="s">
        <v>220</v>
      </c>
      <c r="F255" s="67" t="s">
        <v>363</v>
      </c>
      <c r="G255" s="42"/>
    </row>
    <row r="256" spans="1:7" x14ac:dyDescent="0.3">
      <c r="A256" s="66" t="s">
        <v>405</v>
      </c>
      <c r="B256" s="66">
        <v>4</v>
      </c>
      <c r="C256" s="66">
        <v>1603</v>
      </c>
      <c r="D256" s="66" t="s">
        <v>425</v>
      </c>
      <c r="E256" s="66" t="s">
        <v>220</v>
      </c>
      <c r="F256" s="67" t="s">
        <v>428</v>
      </c>
      <c r="G256" s="42"/>
    </row>
    <row r="257" spans="1:7" x14ac:dyDescent="0.3">
      <c r="A257" s="66" t="s">
        <v>420</v>
      </c>
      <c r="B257" s="66">
        <v>1</v>
      </c>
      <c r="C257" s="66">
        <v>4383</v>
      </c>
      <c r="D257" s="66" t="s">
        <v>350</v>
      </c>
      <c r="E257" s="66" t="s">
        <v>220</v>
      </c>
      <c r="F257" s="67" t="s">
        <v>429</v>
      </c>
      <c r="G257" s="42"/>
    </row>
    <row r="258" spans="1:7" x14ac:dyDescent="0.3">
      <c r="A258" s="66" t="s">
        <v>421</v>
      </c>
      <c r="B258" s="66">
        <v>2</v>
      </c>
      <c r="C258" s="66">
        <v>1603</v>
      </c>
      <c r="D258" s="66" t="s">
        <v>426</v>
      </c>
      <c r="E258" s="66" t="s">
        <v>220</v>
      </c>
      <c r="F258" s="67" t="s">
        <v>430</v>
      </c>
      <c r="G258" s="42"/>
    </row>
    <row r="259" spans="1:7" x14ac:dyDescent="0.3">
      <c r="A259" s="66" t="s">
        <v>355</v>
      </c>
      <c r="B259" s="66">
        <v>1</v>
      </c>
      <c r="C259" s="66">
        <v>2778</v>
      </c>
      <c r="D259" s="66" t="s">
        <v>427</v>
      </c>
      <c r="E259" s="66" t="s">
        <v>220</v>
      </c>
      <c r="F259" s="67" t="s">
        <v>356</v>
      </c>
      <c r="G259" s="42"/>
    </row>
    <row r="260" spans="1:7" x14ac:dyDescent="0.3">
      <c r="A260" s="66" t="s">
        <v>422</v>
      </c>
      <c r="B260" s="66">
        <v>2</v>
      </c>
      <c r="C260" s="66">
        <v>2706</v>
      </c>
      <c r="D260" s="66" t="s">
        <v>219</v>
      </c>
      <c r="E260" s="66" t="s">
        <v>220</v>
      </c>
      <c r="F260" s="67" t="s">
        <v>431</v>
      </c>
      <c r="G260" s="42"/>
    </row>
    <row r="261" spans="1:7" x14ac:dyDescent="0.3">
      <c r="A261" s="66" t="s">
        <v>422</v>
      </c>
      <c r="B261" s="66">
        <v>2</v>
      </c>
      <c r="C261" s="66">
        <v>4059</v>
      </c>
      <c r="D261" s="66" t="s">
        <v>219</v>
      </c>
      <c r="E261" s="66" t="s">
        <v>220</v>
      </c>
      <c r="F261" s="67" t="s">
        <v>431</v>
      </c>
      <c r="G261" s="42"/>
    </row>
    <row r="262" spans="1:7" x14ac:dyDescent="0.3">
      <c r="A262" s="70" t="s">
        <v>183</v>
      </c>
      <c r="B262" s="70">
        <f>SUM(B254:B261)</f>
        <v>18</v>
      </c>
      <c r="C262" s="66"/>
      <c r="D262" s="66"/>
      <c r="E262" s="66"/>
      <c r="F262" s="67"/>
      <c r="G262" s="42"/>
    </row>
    <row r="263" spans="1:7" x14ac:dyDescent="0.3">
      <c r="A263" s="119">
        <v>46317</v>
      </c>
      <c r="B263" s="120"/>
      <c r="C263" s="120"/>
      <c r="D263" s="120"/>
      <c r="E263" s="120"/>
      <c r="F263" s="121"/>
      <c r="G263" s="61"/>
    </row>
    <row r="264" spans="1:7" x14ac:dyDescent="0.3">
      <c r="A264" s="66" t="s">
        <v>324</v>
      </c>
      <c r="B264" s="66">
        <v>4</v>
      </c>
      <c r="C264" s="66">
        <v>500</v>
      </c>
      <c r="D264" s="66" t="s">
        <v>195</v>
      </c>
      <c r="E264" s="66" t="s">
        <v>50</v>
      </c>
      <c r="F264" s="67" t="s">
        <v>394</v>
      </c>
      <c r="G264" s="42"/>
    </row>
    <row r="265" spans="1:7" x14ac:dyDescent="0.3">
      <c r="A265" s="66" t="s">
        <v>324</v>
      </c>
      <c r="B265" s="66">
        <v>1</v>
      </c>
      <c r="C265" s="66">
        <v>550</v>
      </c>
      <c r="D265" s="66" t="s">
        <v>195</v>
      </c>
      <c r="E265" s="66" t="s">
        <v>50</v>
      </c>
      <c r="F265" s="67" t="s">
        <v>394</v>
      </c>
      <c r="G265" s="42" t="s">
        <v>397</v>
      </c>
    </row>
    <row r="266" spans="1:7" x14ac:dyDescent="0.3">
      <c r="A266" s="66" t="s">
        <v>392</v>
      </c>
      <c r="B266" s="66">
        <v>1</v>
      </c>
      <c r="C266" s="66">
        <v>2222</v>
      </c>
      <c r="D266" s="66" t="s">
        <v>393</v>
      </c>
      <c r="E266" s="66" t="s">
        <v>50</v>
      </c>
      <c r="F266" s="67" t="s">
        <v>395</v>
      </c>
      <c r="G266" s="42" t="s">
        <v>396</v>
      </c>
    </row>
    <row r="267" spans="1:7" x14ac:dyDescent="0.3">
      <c r="A267" s="70" t="s">
        <v>183</v>
      </c>
      <c r="B267" s="70">
        <f>SUM(B264:B266)</f>
        <v>6</v>
      </c>
      <c r="C267" s="66"/>
      <c r="D267" s="66"/>
      <c r="E267" s="66"/>
      <c r="F267" s="67"/>
      <c r="G267" s="42"/>
    </row>
    <row r="268" spans="1:7" x14ac:dyDescent="0.3">
      <c r="A268" s="66" t="s">
        <v>398</v>
      </c>
      <c r="B268" s="66">
        <v>6</v>
      </c>
      <c r="C268" s="66">
        <v>5556</v>
      </c>
      <c r="D268" s="66" t="s">
        <v>203</v>
      </c>
      <c r="E268" s="66" t="s">
        <v>220</v>
      </c>
      <c r="F268" s="67" t="s">
        <v>363</v>
      </c>
      <c r="G268" s="42"/>
    </row>
    <row r="269" spans="1:7" x14ac:dyDescent="0.3">
      <c r="A269" s="66" t="s">
        <v>399</v>
      </c>
      <c r="B269" s="66">
        <v>1</v>
      </c>
      <c r="C269" s="66">
        <v>1928</v>
      </c>
      <c r="D269" s="66" t="s">
        <v>203</v>
      </c>
      <c r="E269" s="66" t="s">
        <v>220</v>
      </c>
      <c r="F269" s="67" t="s">
        <v>363</v>
      </c>
      <c r="G269" s="42"/>
    </row>
    <row r="270" spans="1:7" x14ac:dyDescent="0.3">
      <c r="A270" s="66" t="s">
        <v>400</v>
      </c>
      <c r="B270" s="66">
        <v>1</v>
      </c>
      <c r="C270" s="66">
        <v>938</v>
      </c>
      <c r="D270" s="66" t="s">
        <v>234</v>
      </c>
      <c r="E270" s="66" t="s">
        <v>220</v>
      </c>
      <c r="F270" s="67" t="s">
        <v>395</v>
      </c>
      <c r="G270" s="42"/>
    </row>
    <row r="271" spans="1:7" x14ac:dyDescent="0.3">
      <c r="A271" s="66" t="s">
        <v>392</v>
      </c>
      <c r="B271" s="66">
        <v>1</v>
      </c>
      <c r="C271" s="66">
        <v>2222</v>
      </c>
      <c r="D271" s="66" t="s">
        <v>205</v>
      </c>
      <c r="E271" s="66" t="s">
        <v>220</v>
      </c>
      <c r="F271" s="67" t="s">
        <v>401</v>
      </c>
      <c r="G271" s="42"/>
    </row>
    <row r="272" spans="1:7" x14ac:dyDescent="0.3">
      <c r="A272" s="66" t="s">
        <v>355</v>
      </c>
      <c r="B272" s="66">
        <v>4</v>
      </c>
      <c r="C272" s="66">
        <v>2778</v>
      </c>
      <c r="D272" s="66" t="s">
        <v>240</v>
      </c>
      <c r="E272" s="66" t="s">
        <v>220</v>
      </c>
      <c r="F272" s="67" t="s">
        <v>356</v>
      </c>
      <c r="G272" s="42"/>
    </row>
    <row r="273" spans="1:7" x14ac:dyDescent="0.3">
      <c r="A273" s="70" t="s">
        <v>183</v>
      </c>
      <c r="B273" s="70">
        <f>SUM(B268:B272)</f>
        <v>13</v>
      </c>
      <c r="C273" s="66"/>
      <c r="D273" s="66"/>
      <c r="E273" s="66"/>
      <c r="F273" s="67"/>
      <c r="G273" s="42"/>
    </row>
    <row r="274" spans="1:7" x14ac:dyDescent="0.3">
      <c r="A274" s="119">
        <v>46318</v>
      </c>
      <c r="B274" s="120"/>
      <c r="C274" s="120"/>
      <c r="D274" s="120"/>
      <c r="E274" s="120"/>
      <c r="F274" s="121"/>
      <c r="G274" s="61"/>
    </row>
    <row r="275" spans="1:7" x14ac:dyDescent="0.3">
      <c r="A275" s="66" t="s">
        <v>324</v>
      </c>
      <c r="B275" s="66">
        <v>1</v>
      </c>
      <c r="C275" s="66">
        <v>1500</v>
      </c>
      <c r="D275" s="66" t="s">
        <v>219</v>
      </c>
      <c r="E275" s="66" t="s">
        <v>50</v>
      </c>
      <c r="F275" s="67" t="s">
        <v>449</v>
      </c>
      <c r="G275" s="42"/>
    </row>
    <row r="276" spans="1:7" x14ac:dyDescent="0.3">
      <c r="A276" s="66" t="s">
        <v>399</v>
      </c>
      <c r="B276" s="66">
        <v>1</v>
      </c>
      <c r="C276" s="66">
        <v>1159</v>
      </c>
      <c r="D276" s="66" t="s">
        <v>354</v>
      </c>
      <c r="E276" s="66" t="s">
        <v>50</v>
      </c>
      <c r="F276" s="67" t="s">
        <v>363</v>
      </c>
      <c r="G276" s="42"/>
    </row>
    <row r="277" spans="1:7" x14ac:dyDescent="0.3">
      <c r="A277" s="66" t="s">
        <v>399</v>
      </c>
      <c r="B277" s="66">
        <v>1</v>
      </c>
      <c r="C277" s="66">
        <v>2878</v>
      </c>
      <c r="D277" s="66" t="s">
        <v>354</v>
      </c>
      <c r="E277" s="66" t="s">
        <v>50</v>
      </c>
      <c r="F277" s="67" t="s">
        <v>363</v>
      </c>
      <c r="G277" s="42" t="s">
        <v>452</v>
      </c>
    </row>
    <row r="278" spans="1:7" x14ac:dyDescent="0.3">
      <c r="A278" s="70" t="s">
        <v>183</v>
      </c>
      <c r="B278" s="70">
        <f>SUM(B275:B277)</f>
        <v>3</v>
      </c>
      <c r="C278" s="66"/>
      <c r="D278" s="66"/>
      <c r="E278" s="66"/>
      <c r="F278" s="67"/>
      <c r="G278" s="42"/>
    </row>
    <row r="279" spans="1:7" x14ac:dyDescent="0.3">
      <c r="A279" s="66" t="s">
        <v>446</v>
      </c>
      <c r="B279" s="66">
        <v>1</v>
      </c>
      <c r="C279" s="66">
        <v>1603</v>
      </c>
      <c r="D279" s="66" t="s">
        <v>447</v>
      </c>
      <c r="E279" s="66" t="s">
        <v>191</v>
      </c>
      <c r="F279" s="67" t="s">
        <v>450</v>
      </c>
      <c r="G279" s="42"/>
    </row>
    <row r="280" spans="1:7" x14ac:dyDescent="0.3">
      <c r="A280" s="66" t="s">
        <v>446</v>
      </c>
      <c r="B280" s="66">
        <v>1</v>
      </c>
      <c r="C280" s="66">
        <v>1603</v>
      </c>
      <c r="D280" s="66" t="s">
        <v>448</v>
      </c>
      <c r="E280" s="66" t="s">
        <v>191</v>
      </c>
      <c r="F280" s="67" t="s">
        <v>450</v>
      </c>
      <c r="G280" s="42" t="s">
        <v>451</v>
      </c>
    </row>
    <row r="281" spans="1:7" x14ac:dyDescent="0.3">
      <c r="A281" s="70" t="s">
        <v>183</v>
      </c>
      <c r="B281" s="70">
        <f>SUM(B279:B280)</f>
        <v>2</v>
      </c>
      <c r="C281" s="66"/>
      <c r="D281" s="66"/>
      <c r="E281" s="66"/>
      <c r="F281" s="67"/>
      <c r="G281" s="42"/>
    </row>
    <row r="282" spans="1:7" x14ac:dyDescent="0.3">
      <c r="A282" s="66" t="s">
        <v>404</v>
      </c>
      <c r="B282" s="66">
        <v>3</v>
      </c>
      <c r="C282" s="66">
        <v>5556</v>
      </c>
      <c r="D282" s="66" t="s">
        <v>453</v>
      </c>
      <c r="E282" s="66" t="s">
        <v>220</v>
      </c>
      <c r="F282" s="67" t="s">
        <v>363</v>
      </c>
      <c r="G282" s="42"/>
    </row>
    <row r="283" spans="1:7" x14ac:dyDescent="0.3">
      <c r="A283" s="66" t="s">
        <v>404</v>
      </c>
      <c r="B283" s="66">
        <v>3</v>
      </c>
      <c r="C283" s="66">
        <v>5556</v>
      </c>
      <c r="D283" s="66" t="s">
        <v>454</v>
      </c>
      <c r="E283" s="66" t="s">
        <v>220</v>
      </c>
      <c r="F283" s="67" t="s">
        <v>363</v>
      </c>
      <c r="G283" s="42"/>
    </row>
    <row r="284" spans="1:7" x14ac:dyDescent="0.3">
      <c r="A284" s="66" t="s">
        <v>404</v>
      </c>
      <c r="B284" s="66">
        <v>1</v>
      </c>
      <c r="C284" s="66">
        <v>5556</v>
      </c>
      <c r="D284" s="66" t="s">
        <v>203</v>
      </c>
      <c r="E284" s="66" t="s">
        <v>220</v>
      </c>
      <c r="F284" s="67" t="s">
        <v>363</v>
      </c>
      <c r="G284" s="42"/>
    </row>
    <row r="285" spans="1:7" x14ac:dyDescent="0.3">
      <c r="A285" s="66" t="s">
        <v>355</v>
      </c>
      <c r="B285" s="66">
        <v>4</v>
      </c>
      <c r="C285" s="66">
        <v>2222</v>
      </c>
      <c r="D285" s="66" t="s">
        <v>353</v>
      </c>
      <c r="E285" s="66" t="s">
        <v>220</v>
      </c>
      <c r="F285" s="67" t="s">
        <v>356</v>
      </c>
      <c r="G285" s="42"/>
    </row>
    <row r="286" spans="1:7" x14ac:dyDescent="0.3">
      <c r="A286" s="66" t="s">
        <v>355</v>
      </c>
      <c r="B286" s="66">
        <v>2</v>
      </c>
      <c r="C286" s="66">
        <v>2222</v>
      </c>
      <c r="D286" s="66" t="s">
        <v>354</v>
      </c>
      <c r="E286" s="66" t="s">
        <v>220</v>
      </c>
      <c r="F286" s="67" t="s">
        <v>356</v>
      </c>
      <c r="G286" s="42"/>
    </row>
    <row r="287" spans="1:7" x14ac:dyDescent="0.3">
      <c r="A287" s="66" t="s">
        <v>446</v>
      </c>
      <c r="B287" s="66">
        <v>1</v>
      </c>
      <c r="C287" s="66">
        <v>1603</v>
      </c>
      <c r="D287" s="66" t="s">
        <v>455</v>
      </c>
      <c r="E287" s="66" t="s">
        <v>220</v>
      </c>
      <c r="F287" s="67" t="s">
        <v>450</v>
      </c>
      <c r="G287" s="42"/>
    </row>
    <row r="288" spans="1:7" x14ac:dyDescent="0.3">
      <c r="A288" s="66" t="s">
        <v>321</v>
      </c>
      <c r="B288" s="66">
        <v>1</v>
      </c>
      <c r="C288" s="66">
        <v>1603</v>
      </c>
      <c r="D288" s="66" t="s">
        <v>219</v>
      </c>
      <c r="E288" s="66" t="s">
        <v>220</v>
      </c>
      <c r="F288" s="67" t="s">
        <v>450</v>
      </c>
      <c r="G288" s="42"/>
    </row>
    <row r="289" spans="1:7" x14ac:dyDescent="0.3">
      <c r="A289" s="70" t="s">
        <v>183</v>
      </c>
      <c r="B289" s="70">
        <f>SUM(B282:B288)</f>
        <v>15</v>
      </c>
      <c r="C289" s="66"/>
      <c r="D289" s="66"/>
      <c r="E289" s="66"/>
      <c r="F289" s="67"/>
      <c r="G289" s="42"/>
    </row>
    <row r="290" spans="1:7" x14ac:dyDescent="0.3">
      <c r="A290" s="66"/>
      <c r="B290" s="66"/>
      <c r="C290" s="66"/>
      <c r="D290" s="66"/>
      <c r="E290" s="66"/>
      <c r="F290" s="67"/>
      <c r="G290" s="42"/>
    </row>
    <row r="291" spans="1:7" x14ac:dyDescent="0.3">
      <c r="A291" s="66"/>
      <c r="B291" s="66"/>
      <c r="C291" s="66"/>
      <c r="D291" s="66"/>
      <c r="E291" s="66"/>
      <c r="F291" s="67"/>
      <c r="G291" s="42"/>
    </row>
    <row r="292" spans="1:7" x14ac:dyDescent="0.3">
      <c r="A292" s="66"/>
      <c r="B292" s="66"/>
      <c r="C292" s="66"/>
      <c r="D292" s="66"/>
      <c r="E292" s="66"/>
      <c r="F292" s="67"/>
      <c r="G292" s="42"/>
    </row>
  </sheetData>
  <mergeCells count="30">
    <mergeCell ref="A210:F210"/>
    <mergeCell ref="A125:G125"/>
    <mergeCell ref="A2:G2"/>
    <mergeCell ref="H2:I2"/>
    <mergeCell ref="A9:G9"/>
    <mergeCell ref="H12:I12"/>
    <mergeCell ref="A20:G20"/>
    <mergeCell ref="A26:G26"/>
    <mergeCell ref="A47:G47"/>
    <mergeCell ref="A61:G61"/>
    <mergeCell ref="A70:G70"/>
    <mergeCell ref="A90:G90"/>
    <mergeCell ref="A109:F109"/>
    <mergeCell ref="A209:G209"/>
    <mergeCell ref="A126:F126"/>
    <mergeCell ref="A136:G136"/>
    <mergeCell ref="A178:G178"/>
    <mergeCell ref="A188:F188"/>
    <mergeCell ref="A189:F189"/>
    <mergeCell ref="A197:G197"/>
    <mergeCell ref="A149:G149"/>
    <mergeCell ref="A150:F150"/>
    <mergeCell ref="A157:F157"/>
    <mergeCell ref="A169:F169"/>
    <mergeCell ref="A170:F170"/>
    <mergeCell ref="A274:F274"/>
    <mergeCell ref="A263:F263"/>
    <mergeCell ref="A213:F213"/>
    <mergeCell ref="A234:F234"/>
    <mergeCell ref="A248:G24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FA6E-FC0B-4C1B-AC3B-7F5076669F5D}">
  <dimension ref="A1:I27"/>
  <sheetViews>
    <sheetView topLeftCell="A10" workbookViewId="0">
      <selection activeCell="E30" sqref="E30"/>
    </sheetView>
  </sheetViews>
  <sheetFormatPr baseColWidth="10" defaultRowHeight="14.4" x14ac:dyDescent="0.3"/>
  <cols>
    <col min="1" max="1" width="14.109375" style="88" customWidth="1"/>
    <col min="2" max="2" width="16" style="101" customWidth="1"/>
    <col min="3" max="3" width="11.88671875" customWidth="1"/>
    <col min="4" max="4" width="50.5546875" bestFit="1" customWidth="1"/>
    <col min="5" max="5" width="100.5546875" bestFit="1" customWidth="1"/>
  </cols>
  <sheetData>
    <row r="1" spans="1:9" ht="15" thickBot="1" x14ac:dyDescent="0.35"/>
    <row r="2" spans="1:9" ht="15" thickBot="1" x14ac:dyDescent="0.35">
      <c r="A2" s="89" t="s">
        <v>184</v>
      </c>
      <c r="B2" s="113" t="s">
        <v>371</v>
      </c>
      <c r="C2" s="91" t="s">
        <v>372</v>
      </c>
      <c r="D2" s="91" t="s">
        <v>176</v>
      </c>
      <c r="E2" s="90" t="s">
        <v>30</v>
      </c>
    </row>
    <row r="3" spans="1:9" x14ac:dyDescent="0.3">
      <c r="A3" s="146">
        <v>46307</v>
      </c>
      <c r="B3" s="148" t="s">
        <v>187</v>
      </c>
      <c r="C3" s="82" t="s">
        <v>291</v>
      </c>
      <c r="D3" s="82" t="s">
        <v>366</v>
      </c>
      <c r="E3" s="83"/>
    </row>
    <row r="4" spans="1:9" ht="15" thickBot="1" x14ac:dyDescent="0.35">
      <c r="A4" s="147"/>
      <c r="B4" s="149"/>
      <c r="C4" s="81" t="s">
        <v>293</v>
      </c>
      <c r="D4" s="81" t="s">
        <v>295</v>
      </c>
      <c r="E4" s="85"/>
    </row>
    <row r="5" spans="1:9" ht="30.75" customHeight="1" thickBot="1" x14ac:dyDescent="0.35">
      <c r="A5" s="92">
        <v>46308</v>
      </c>
      <c r="B5" s="114" t="s">
        <v>368</v>
      </c>
      <c r="C5" s="93"/>
      <c r="D5" s="94"/>
      <c r="E5" s="95" t="s">
        <v>312</v>
      </c>
      <c r="F5" s="79"/>
      <c r="G5" s="79"/>
      <c r="H5" s="79"/>
      <c r="I5" s="79"/>
    </row>
    <row r="6" spans="1:9" x14ac:dyDescent="0.3">
      <c r="A6" s="140">
        <v>46309</v>
      </c>
      <c r="B6" s="150" t="s">
        <v>187</v>
      </c>
      <c r="C6" s="86" t="s">
        <v>166</v>
      </c>
      <c r="D6" s="86" t="s">
        <v>167</v>
      </c>
      <c r="E6" s="87"/>
    </row>
    <row r="7" spans="1:9" x14ac:dyDescent="0.3">
      <c r="A7" s="141"/>
      <c r="B7" s="151"/>
      <c r="C7" s="80" t="s">
        <v>156</v>
      </c>
      <c r="D7" s="80" t="s">
        <v>289</v>
      </c>
      <c r="E7" s="84"/>
    </row>
    <row r="8" spans="1:9" ht="15" thickBot="1" x14ac:dyDescent="0.35">
      <c r="A8" s="142"/>
      <c r="B8" s="147"/>
      <c r="C8" s="81" t="s">
        <v>302</v>
      </c>
      <c r="D8" s="81" t="s">
        <v>303</v>
      </c>
      <c r="E8" s="85" t="s">
        <v>367</v>
      </c>
    </row>
    <row r="9" spans="1:9" x14ac:dyDescent="0.3">
      <c r="A9" s="140">
        <v>46310</v>
      </c>
      <c r="B9" s="150" t="s">
        <v>177</v>
      </c>
      <c r="C9" s="86" t="s">
        <v>230</v>
      </c>
      <c r="D9" s="86" t="s">
        <v>44</v>
      </c>
      <c r="E9" s="87"/>
    </row>
    <row r="10" spans="1:9" x14ac:dyDescent="0.3">
      <c r="A10" s="141"/>
      <c r="B10" s="151"/>
      <c r="C10" s="80" t="s">
        <v>310</v>
      </c>
      <c r="D10" s="80" t="s">
        <v>44</v>
      </c>
      <c r="E10" s="84"/>
    </row>
    <row r="11" spans="1:9" x14ac:dyDescent="0.3">
      <c r="A11" s="141"/>
      <c r="B11" s="151"/>
      <c r="C11" s="80" t="s">
        <v>331</v>
      </c>
      <c r="D11" s="80" t="s">
        <v>332</v>
      </c>
      <c r="E11" s="84"/>
    </row>
    <row r="12" spans="1:9" x14ac:dyDescent="0.3">
      <c r="A12" s="141"/>
      <c r="B12" s="138" t="s">
        <v>187</v>
      </c>
      <c r="C12" s="80" t="s">
        <v>252</v>
      </c>
      <c r="D12" s="80" t="s">
        <v>341</v>
      </c>
      <c r="E12" s="84" t="s">
        <v>369</v>
      </c>
    </row>
    <row r="13" spans="1:9" ht="15" thickBot="1" x14ac:dyDescent="0.35">
      <c r="A13" s="142"/>
      <c r="B13" s="139"/>
      <c r="C13" s="81" t="s">
        <v>296</v>
      </c>
      <c r="D13" s="81" t="s">
        <v>235</v>
      </c>
      <c r="E13" s="85"/>
    </row>
    <row r="14" spans="1:9" x14ac:dyDescent="0.3">
      <c r="A14" s="135">
        <v>46311</v>
      </c>
      <c r="B14" s="143" t="s">
        <v>177</v>
      </c>
      <c r="C14" s="86" t="s">
        <v>233</v>
      </c>
      <c r="D14" s="86" t="s">
        <v>235</v>
      </c>
      <c r="E14" s="87"/>
    </row>
    <row r="15" spans="1:9" x14ac:dyDescent="0.3">
      <c r="A15" s="136"/>
      <c r="B15" s="144"/>
      <c r="C15" s="80" t="s">
        <v>317</v>
      </c>
      <c r="D15" s="80" t="s">
        <v>344</v>
      </c>
      <c r="E15" s="84" t="s">
        <v>370</v>
      </c>
    </row>
    <row r="16" spans="1:9" x14ac:dyDescent="0.3">
      <c r="A16" s="136"/>
      <c r="B16" s="144" t="s">
        <v>187</v>
      </c>
      <c r="C16" s="80" t="s">
        <v>305</v>
      </c>
      <c r="D16" s="80" t="s">
        <v>306</v>
      </c>
      <c r="E16" s="84"/>
    </row>
    <row r="17" spans="1:5" x14ac:dyDescent="0.3">
      <c r="A17" s="136"/>
      <c r="B17" s="144"/>
      <c r="C17" s="80" t="s">
        <v>359</v>
      </c>
      <c r="D17" s="80" t="s">
        <v>360</v>
      </c>
      <c r="E17" s="84"/>
    </row>
    <row r="18" spans="1:5" x14ac:dyDescent="0.3">
      <c r="A18" s="136"/>
      <c r="B18" s="144"/>
      <c r="C18" s="80" t="s">
        <v>233</v>
      </c>
      <c r="D18" s="80" t="s">
        <v>235</v>
      </c>
      <c r="E18" s="84"/>
    </row>
    <row r="19" spans="1:5" ht="15" thickBot="1" x14ac:dyDescent="0.35">
      <c r="A19" s="137"/>
      <c r="B19" s="145"/>
      <c r="C19" s="81" t="s">
        <v>338</v>
      </c>
      <c r="D19" s="81" t="s">
        <v>235</v>
      </c>
      <c r="E19" s="85"/>
    </row>
    <row r="20" spans="1:5" x14ac:dyDescent="0.3">
      <c r="A20" s="135">
        <v>46315</v>
      </c>
      <c r="B20" s="134" t="s">
        <v>187</v>
      </c>
      <c r="C20" s="112" t="s">
        <v>434</v>
      </c>
      <c r="D20" s="102" t="s">
        <v>363</v>
      </c>
      <c r="E20" s="102"/>
    </row>
    <row r="21" spans="1:5" ht="15" thickBot="1" x14ac:dyDescent="0.35">
      <c r="A21" s="137"/>
      <c r="B21" s="133"/>
      <c r="C21" s="107" t="s">
        <v>438</v>
      </c>
      <c r="D21" s="104" t="s">
        <v>443</v>
      </c>
      <c r="E21" s="104"/>
    </row>
    <row r="22" spans="1:5" ht="15" thickBot="1" x14ac:dyDescent="0.35">
      <c r="A22" s="92">
        <v>46316</v>
      </c>
      <c r="B22" s="115" t="s">
        <v>177</v>
      </c>
      <c r="C22" s="109" t="s">
        <v>418</v>
      </c>
      <c r="D22" s="110" t="s">
        <v>432</v>
      </c>
      <c r="E22" s="110" t="s">
        <v>433</v>
      </c>
    </row>
    <row r="23" spans="1:5" x14ac:dyDescent="0.3">
      <c r="A23" s="135">
        <v>46317</v>
      </c>
      <c r="B23" s="105" t="s">
        <v>177</v>
      </c>
      <c r="C23" s="108" t="s">
        <v>324</v>
      </c>
      <c r="D23" s="103" t="s">
        <v>402</v>
      </c>
      <c r="E23" s="103"/>
    </row>
    <row r="24" spans="1:5" x14ac:dyDescent="0.3">
      <c r="A24" s="136"/>
      <c r="B24" s="132" t="s">
        <v>187</v>
      </c>
      <c r="C24" s="108" t="s">
        <v>398</v>
      </c>
      <c r="D24" s="103" t="s">
        <v>363</v>
      </c>
      <c r="E24" s="103"/>
    </row>
    <row r="25" spans="1:5" x14ac:dyDescent="0.3">
      <c r="A25" s="136"/>
      <c r="B25" s="132"/>
      <c r="C25" s="108" t="s">
        <v>400</v>
      </c>
      <c r="D25" s="103" t="s">
        <v>395</v>
      </c>
      <c r="E25" s="103"/>
    </row>
    <row r="26" spans="1:5" ht="15" thickBot="1" x14ac:dyDescent="0.35">
      <c r="A26" s="137"/>
      <c r="B26" s="133"/>
      <c r="C26" s="107" t="s">
        <v>392</v>
      </c>
      <c r="D26" s="104" t="s">
        <v>401</v>
      </c>
      <c r="E26" s="104"/>
    </row>
    <row r="27" spans="1:5" ht="15" thickBot="1" x14ac:dyDescent="0.35">
      <c r="A27" s="96">
        <v>46318</v>
      </c>
      <c r="B27" s="106" t="s">
        <v>187</v>
      </c>
      <c r="C27" s="107" t="s">
        <v>355</v>
      </c>
      <c r="D27" s="111" t="s">
        <v>356</v>
      </c>
      <c r="E27" s="104"/>
    </row>
  </sheetData>
  <mergeCells count="14">
    <mergeCell ref="A3:A4"/>
    <mergeCell ref="A6:A8"/>
    <mergeCell ref="B3:B4"/>
    <mergeCell ref="B6:B8"/>
    <mergeCell ref="B9:B11"/>
    <mergeCell ref="B24:B26"/>
    <mergeCell ref="B20:B21"/>
    <mergeCell ref="A23:A26"/>
    <mergeCell ref="A20:A21"/>
    <mergeCell ref="B12:B13"/>
    <mergeCell ref="A9:A13"/>
    <mergeCell ref="B14:B15"/>
    <mergeCell ref="B16:B19"/>
    <mergeCell ref="A14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GENERALES</vt:lpstr>
      <vt:lpstr>MONTAJE </vt:lpstr>
      <vt:lpstr>CALIBRACION</vt:lpstr>
      <vt:lpstr>URDIDO</vt:lpstr>
      <vt:lpstr>ORDENES ACABADAS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2026-09-08T16:05:38Z</dcterms:created>
  <dcterms:modified xsi:type="dcterms:W3CDTF">2026-10-26T11:54:09Z</dcterms:modified>
</cp:coreProperties>
</file>